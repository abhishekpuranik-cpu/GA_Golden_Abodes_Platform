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Projects\Golden Abodes\Accounting\"/>
    </mc:Choice>
  </mc:AlternateContent>
  <bookViews>
    <workbookView xWindow="-108" yWindow="-108" windowWidth="19416" windowHeight="11016" activeTab="2"/>
  </bookViews>
  <sheets>
    <sheet name="Outflow" sheetId="2" r:id="rId1"/>
    <sheet name="Masters" sheetId="4" state="hidden" r:id="rId2"/>
    <sheet name="Master Sheet for Building" sheetId="3" r:id="rId3"/>
    <sheet name="Master Sheet For Common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3" l="1"/>
  <c r="N42" i="3"/>
  <c r="O42" i="3"/>
  <c r="J42" i="3"/>
  <c r="K42" i="3"/>
  <c r="L42" i="3"/>
  <c r="M354" i="5"/>
  <c r="M236" i="5"/>
  <c r="N236" i="5"/>
  <c r="O236" i="5"/>
  <c r="G236" i="5"/>
  <c r="J236" i="5"/>
  <c r="K236" i="5"/>
  <c r="L236" i="5"/>
  <c r="M91" i="3"/>
  <c r="N91" i="3"/>
  <c r="O91" i="3"/>
  <c r="J91" i="3"/>
  <c r="K91" i="3"/>
  <c r="L91" i="3"/>
  <c r="M247" i="5"/>
  <c r="N247" i="5"/>
  <c r="O247" i="5"/>
  <c r="M246" i="5"/>
  <c r="N246" i="5"/>
  <c r="O246" i="5"/>
  <c r="M245" i="5"/>
  <c r="N245" i="5"/>
  <c r="O245" i="5"/>
  <c r="J194" i="5"/>
  <c r="K194" i="5"/>
  <c r="L194" i="5"/>
  <c r="M194" i="5"/>
  <c r="N194" i="5"/>
  <c r="O194" i="5"/>
  <c r="M193" i="5"/>
  <c r="N193" i="5"/>
  <c r="O193" i="5"/>
  <c r="M195" i="5"/>
  <c r="N195" i="5"/>
  <c r="O195" i="5"/>
  <c r="M196" i="5"/>
  <c r="N196" i="5"/>
  <c r="O196" i="5"/>
  <c r="M197" i="5"/>
  <c r="N197" i="5"/>
  <c r="O197" i="5"/>
  <c r="M198" i="5"/>
  <c r="N198" i="5"/>
  <c r="O198" i="5"/>
  <c r="J193" i="5"/>
  <c r="K193" i="5"/>
  <c r="L193" i="5"/>
  <c r="J195" i="5"/>
  <c r="K195" i="5"/>
  <c r="L195" i="5"/>
  <c r="J196" i="5"/>
  <c r="K196" i="5"/>
  <c r="L196" i="5"/>
  <c r="J197" i="5"/>
  <c r="K197" i="5"/>
  <c r="L197" i="5"/>
  <c r="J192" i="5"/>
  <c r="K192" i="5"/>
  <c r="L192" i="5"/>
  <c r="M192" i="5"/>
  <c r="N192" i="5"/>
  <c r="O192" i="5"/>
  <c r="J184" i="5"/>
  <c r="K184" i="5"/>
  <c r="L184" i="5"/>
  <c r="M184" i="5"/>
  <c r="N184" i="5"/>
  <c r="O184" i="5"/>
  <c r="J90" i="3"/>
  <c r="K90" i="3"/>
  <c r="L90" i="3"/>
  <c r="M90" i="3"/>
  <c r="N90" i="3"/>
  <c r="O90" i="3"/>
  <c r="M149" i="5"/>
  <c r="N149" i="5"/>
  <c r="O149" i="5"/>
  <c r="M148" i="5"/>
  <c r="N148" i="5"/>
  <c r="O148" i="5"/>
  <c r="J149" i="5"/>
  <c r="K149" i="5"/>
  <c r="L149" i="5"/>
  <c r="J148" i="5"/>
  <c r="M57" i="3"/>
  <c r="N57" i="3"/>
  <c r="O57" i="3"/>
  <c r="J57" i="3"/>
  <c r="K57" i="3"/>
  <c r="L57" i="3"/>
  <c r="M147" i="5"/>
  <c r="J147" i="5"/>
  <c r="J202" i="5"/>
  <c r="M146" i="5"/>
  <c r="J146" i="5"/>
  <c r="M145" i="5"/>
  <c r="J145" i="5"/>
  <c r="M162" i="5"/>
  <c r="J162" i="5"/>
  <c r="M161" i="5"/>
  <c r="J161" i="5"/>
  <c r="M142" i="5"/>
  <c r="J142" i="5"/>
  <c r="M110" i="5"/>
  <c r="J110" i="5"/>
  <c r="M153" i="5"/>
  <c r="J153" i="5"/>
  <c r="J12" i="5"/>
  <c r="G227" i="5"/>
  <c r="G228" i="5"/>
  <c r="G229" i="5"/>
  <c r="G230" i="5"/>
  <c r="G231" i="5"/>
  <c r="J96" i="5"/>
  <c r="K96" i="5"/>
  <c r="L96" i="5"/>
  <c r="M96" i="5"/>
  <c r="N96" i="5"/>
  <c r="O96" i="5"/>
  <c r="J97" i="5"/>
  <c r="K97" i="5"/>
  <c r="M97" i="5"/>
  <c r="J98" i="5"/>
  <c r="M98" i="5"/>
  <c r="N98" i="5"/>
  <c r="J99" i="5"/>
  <c r="K99" i="5"/>
  <c r="M99" i="5"/>
  <c r="J100" i="5"/>
  <c r="M100" i="5"/>
  <c r="N100" i="5"/>
  <c r="J101" i="5"/>
  <c r="M101" i="5"/>
  <c r="J102" i="5"/>
  <c r="M102" i="5"/>
  <c r="N102" i="5"/>
  <c r="J103" i="5"/>
  <c r="M103" i="5"/>
  <c r="J104" i="5"/>
  <c r="M104" i="5"/>
  <c r="N104" i="5"/>
  <c r="J105" i="5"/>
  <c r="K105" i="5"/>
  <c r="L105" i="5"/>
  <c r="M105" i="5"/>
  <c r="J106" i="5"/>
  <c r="M106" i="5"/>
  <c r="N106" i="5"/>
  <c r="O106" i="5"/>
  <c r="J107" i="5"/>
  <c r="K107" i="5"/>
  <c r="L107" i="5"/>
  <c r="M107" i="5"/>
  <c r="J108" i="5"/>
  <c r="M108" i="5"/>
  <c r="N108" i="5"/>
  <c r="O108" i="5"/>
  <c r="J109" i="5"/>
  <c r="M109" i="5"/>
  <c r="J111" i="5"/>
  <c r="M111" i="5"/>
  <c r="N111" i="5"/>
  <c r="O111" i="5"/>
  <c r="J112" i="5"/>
  <c r="M112" i="5"/>
  <c r="J113" i="5"/>
  <c r="M113" i="5"/>
  <c r="N113" i="5"/>
  <c r="O113" i="5"/>
  <c r="J114" i="5"/>
  <c r="K114" i="5"/>
  <c r="L114" i="5"/>
  <c r="M114" i="5"/>
  <c r="J115" i="5"/>
  <c r="M115" i="5"/>
  <c r="N115" i="5"/>
  <c r="O115" i="5"/>
  <c r="J116" i="5"/>
  <c r="K116" i="5"/>
  <c r="L116" i="5"/>
  <c r="M116" i="5"/>
  <c r="J117" i="5"/>
  <c r="M117" i="5"/>
  <c r="N117" i="5"/>
  <c r="O117" i="5"/>
  <c r="J118" i="5"/>
  <c r="M118" i="5"/>
  <c r="J119" i="5"/>
  <c r="M119" i="5"/>
  <c r="N119" i="5"/>
  <c r="O119" i="5"/>
  <c r="J120" i="5"/>
  <c r="M120" i="5"/>
  <c r="J121" i="5"/>
  <c r="M121" i="5"/>
  <c r="N121" i="5"/>
  <c r="O121" i="5"/>
  <c r="J122" i="5"/>
  <c r="K122" i="5"/>
  <c r="L122" i="5"/>
  <c r="M122" i="5"/>
  <c r="J123" i="5"/>
  <c r="M123" i="5"/>
  <c r="N123" i="5"/>
  <c r="O123" i="5"/>
  <c r="J124" i="5"/>
  <c r="K124" i="5"/>
  <c r="L124" i="5"/>
  <c r="M124" i="5"/>
  <c r="J125" i="5"/>
  <c r="M125" i="5"/>
  <c r="N125" i="5"/>
  <c r="O125" i="5"/>
  <c r="J126" i="5"/>
  <c r="M126" i="5"/>
  <c r="J127" i="5"/>
  <c r="M127" i="5"/>
  <c r="N127" i="5"/>
  <c r="O127" i="5"/>
  <c r="J128" i="5"/>
  <c r="M128" i="5"/>
  <c r="J129" i="5"/>
  <c r="M129" i="5"/>
  <c r="N129" i="5"/>
  <c r="O129" i="5"/>
  <c r="J130" i="5"/>
  <c r="K130" i="5"/>
  <c r="L130" i="5"/>
  <c r="M130" i="5"/>
  <c r="J131" i="5"/>
  <c r="M131" i="5"/>
  <c r="N131" i="5"/>
  <c r="O131" i="5"/>
  <c r="J132" i="5"/>
  <c r="K132" i="5"/>
  <c r="L132" i="5"/>
  <c r="M132" i="5"/>
  <c r="J133" i="5"/>
  <c r="M133" i="5"/>
  <c r="N133" i="5"/>
  <c r="O133" i="5"/>
  <c r="J134" i="5"/>
  <c r="M134" i="5"/>
  <c r="J135" i="5"/>
  <c r="M135" i="5"/>
  <c r="N135" i="5"/>
  <c r="O135" i="5"/>
  <c r="J136" i="5"/>
  <c r="M136" i="5"/>
  <c r="J137" i="5"/>
  <c r="M137" i="5"/>
  <c r="N137" i="5"/>
  <c r="O137" i="5"/>
  <c r="J138" i="5"/>
  <c r="K138" i="5"/>
  <c r="L138" i="5"/>
  <c r="M138" i="5"/>
  <c r="J139" i="5"/>
  <c r="M139" i="5"/>
  <c r="N139" i="5"/>
  <c r="O139" i="5"/>
  <c r="J140" i="5"/>
  <c r="K140" i="5"/>
  <c r="L140" i="5"/>
  <c r="M140" i="5"/>
  <c r="J141" i="5"/>
  <c r="M141" i="5"/>
  <c r="N141" i="5"/>
  <c r="O141" i="5"/>
  <c r="J143" i="5"/>
  <c r="M143" i="5"/>
  <c r="J144" i="5"/>
  <c r="M144" i="5"/>
  <c r="N144" i="5"/>
  <c r="O144" i="5"/>
  <c r="J150" i="5"/>
  <c r="M150" i="5"/>
  <c r="N150" i="5"/>
  <c r="O150" i="5"/>
  <c r="J151" i="5"/>
  <c r="K151" i="5"/>
  <c r="L151" i="5"/>
  <c r="M151" i="5"/>
  <c r="J152" i="5"/>
  <c r="M152" i="5"/>
  <c r="N152" i="5"/>
  <c r="O152" i="5"/>
  <c r="J154" i="5"/>
  <c r="K154" i="5"/>
  <c r="L154" i="5"/>
  <c r="M154" i="5"/>
  <c r="J155" i="5"/>
  <c r="M155" i="5"/>
  <c r="N155" i="5"/>
  <c r="O155" i="5"/>
  <c r="J156" i="5"/>
  <c r="M156" i="5"/>
  <c r="J157" i="5"/>
  <c r="M157" i="5"/>
  <c r="N157" i="5"/>
  <c r="O157" i="5"/>
  <c r="J158" i="5"/>
  <c r="M158" i="5"/>
  <c r="J159" i="5"/>
  <c r="K159" i="5"/>
  <c r="L159" i="5"/>
  <c r="M159" i="5"/>
  <c r="N159" i="5"/>
  <c r="O159" i="5"/>
  <c r="J160" i="5"/>
  <c r="M160" i="5"/>
  <c r="J163" i="5"/>
  <c r="K163" i="5"/>
  <c r="L163" i="5"/>
  <c r="M163" i="5"/>
  <c r="N163" i="5"/>
  <c r="O163" i="5"/>
  <c r="J164" i="5"/>
  <c r="K164" i="5"/>
  <c r="L164" i="5"/>
  <c r="M164" i="5"/>
  <c r="J165" i="5"/>
  <c r="K165" i="5"/>
  <c r="L165" i="5"/>
  <c r="M165" i="5"/>
  <c r="N165" i="5"/>
  <c r="O165" i="5"/>
  <c r="J166" i="5"/>
  <c r="M166" i="5"/>
  <c r="J167" i="5"/>
  <c r="K167" i="5"/>
  <c r="L167" i="5"/>
  <c r="M167" i="5"/>
  <c r="N167" i="5"/>
  <c r="O167" i="5"/>
  <c r="J168" i="5"/>
  <c r="M168" i="5"/>
  <c r="J169" i="5"/>
  <c r="K169" i="5"/>
  <c r="L169" i="5"/>
  <c r="M169" i="5"/>
  <c r="N169" i="5"/>
  <c r="O169" i="5"/>
  <c r="J170" i="5"/>
  <c r="K170" i="5"/>
  <c r="L170" i="5"/>
  <c r="M170" i="5"/>
  <c r="J171" i="5"/>
  <c r="K171" i="5"/>
  <c r="L171" i="5"/>
  <c r="M171" i="5"/>
  <c r="N171" i="5"/>
  <c r="O171" i="5"/>
  <c r="J172" i="5"/>
  <c r="K172" i="5"/>
  <c r="M172" i="5"/>
  <c r="J173" i="5"/>
  <c r="K173" i="5"/>
  <c r="L173" i="5"/>
  <c r="M173" i="5"/>
  <c r="N173" i="5"/>
  <c r="O173" i="5"/>
  <c r="J174" i="5"/>
  <c r="M174" i="5"/>
  <c r="J175" i="5"/>
  <c r="K175" i="5"/>
  <c r="L175" i="5"/>
  <c r="M175" i="5"/>
  <c r="N175" i="5"/>
  <c r="O175" i="5"/>
  <c r="J176" i="5"/>
  <c r="M176" i="5"/>
  <c r="J177" i="5"/>
  <c r="K177" i="5"/>
  <c r="L177" i="5"/>
  <c r="M177" i="5"/>
  <c r="N177" i="5"/>
  <c r="O177" i="5"/>
  <c r="J178" i="5"/>
  <c r="K178" i="5"/>
  <c r="L178" i="5"/>
  <c r="M178" i="5"/>
  <c r="N178" i="5"/>
  <c r="O178" i="5"/>
  <c r="J179" i="5"/>
  <c r="K179" i="5"/>
  <c r="L179" i="5"/>
  <c r="M179" i="5"/>
  <c r="N179" i="5"/>
  <c r="O179" i="5"/>
  <c r="J180" i="5"/>
  <c r="K180" i="5"/>
  <c r="L180" i="5"/>
  <c r="M180" i="5"/>
  <c r="N180" i="5"/>
  <c r="O180" i="5"/>
  <c r="J181" i="5"/>
  <c r="K181" i="5"/>
  <c r="L181" i="5"/>
  <c r="M181" i="5"/>
  <c r="N181" i="5"/>
  <c r="O181" i="5"/>
  <c r="J182" i="5"/>
  <c r="K182" i="5"/>
  <c r="L182" i="5"/>
  <c r="M182" i="5"/>
  <c r="J183" i="5"/>
  <c r="K183" i="5"/>
  <c r="L183" i="5"/>
  <c r="M183" i="5"/>
  <c r="N183" i="5"/>
  <c r="O183" i="5"/>
  <c r="J185" i="5"/>
  <c r="K185" i="5"/>
  <c r="L185" i="5"/>
  <c r="M185" i="5"/>
  <c r="J186" i="5"/>
  <c r="K186" i="5"/>
  <c r="L186" i="5"/>
  <c r="M186" i="5"/>
  <c r="N186" i="5"/>
  <c r="O186" i="5"/>
  <c r="J187" i="5"/>
  <c r="K187" i="5"/>
  <c r="L187" i="5"/>
  <c r="M187" i="5"/>
  <c r="N187" i="5"/>
  <c r="O187" i="5"/>
  <c r="J188" i="5"/>
  <c r="K188" i="5"/>
  <c r="L188" i="5"/>
  <c r="M188" i="5"/>
  <c r="N188" i="5"/>
  <c r="O188" i="5"/>
  <c r="J189" i="5"/>
  <c r="K189" i="5"/>
  <c r="L189" i="5"/>
  <c r="M189" i="5"/>
  <c r="J190" i="5"/>
  <c r="K190" i="5"/>
  <c r="L190" i="5"/>
  <c r="M190" i="5"/>
  <c r="N190" i="5"/>
  <c r="O190" i="5"/>
  <c r="J191" i="5"/>
  <c r="M191" i="5"/>
  <c r="J198" i="5"/>
  <c r="J199" i="5"/>
  <c r="K199" i="5"/>
  <c r="L199" i="5"/>
  <c r="M199" i="5"/>
  <c r="N199" i="5"/>
  <c r="O199" i="5"/>
  <c r="J200" i="5"/>
  <c r="K200" i="5"/>
  <c r="M200" i="5"/>
  <c r="J201" i="5"/>
  <c r="K201" i="5"/>
  <c r="M201" i="5"/>
  <c r="N201" i="5"/>
  <c r="O201" i="5"/>
  <c r="J203" i="5"/>
  <c r="K203" i="5"/>
  <c r="L203" i="5"/>
  <c r="M203" i="5"/>
  <c r="N203" i="5"/>
  <c r="O203" i="5"/>
  <c r="J204" i="5"/>
  <c r="K204" i="5"/>
  <c r="M204" i="5"/>
  <c r="N204" i="5"/>
  <c r="O204" i="5"/>
  <c r="J205" i="5"/>
  <c r="K205" i="5"/>
  <c r="L205" i="5"/>
  <c r="M205" i="5"/>
  <c r="N205" i="5"/>
  <c r="O205" i="5"/>
  <c r="J206" i="5"/>
  <c r="K206" i="5"/>
  <c r="M206" i="5"/>
  <c r="N206" i="5"/>
  <c r="O206" i="5"/>
  <c r="J207" i="5"/>
  <c r="K207" i="5"/>
  <c r="L207" i="5"/>
  <c r="M207" i="5"/>
  <c r="N207" i="5"/>
  <c r="O207" i="5"/>
  <c r="J208" i="5"/>
  <c r="K208" i="5"/>
  <c r="M208" i="5"/>
  <c r="N208" i="5"/>
  <c r="O208" i="5"/>
  <c r="J209" i="5"/>
  <c r="K209" i="5"/>
  <c r="L209" i="5"/>
  <c r="M209" i="5"/>
  <c r="N209" i="5"/>
  <c r="O209" i="5"/>
  <c r="J210" i="5"/>
  <c r="K210" i="5"/>
  <c r="M210" i="5"/>
  <c r="N210" i="5"/>
  <c r="O210" i="5"/>
  <c r="J211" i="5"/>
  <c r="K211" i="5"/>
  <c r="L211" i="5"/>
  <c r="M211" i="5"/>
  <c r="J212" i="5"/>
  <c r="K212" i="5"/>
  <c r="M212" i="5"/>
  <c r="N212" i="5"/>
  <c r="O212" i="5"/>
  <c r="J213" i="5"/>
  <c r="K213" i="5"/>
  <c r="L213" i="5"/>
  <c r="M213" i="5"/>
  <c r="J214" i="5"/>
  <c r="K214" i="5"/>
  <c r="M214" i="5"/>
  <c r="N214" i="5"/>
  <c r="O214" i="5"/>
  <c r="J215" i="5"/>
  <c r="K215" i="5"/>
  <c r="L215" i="5"/>
  <c r="M215" i="5"/>
  <c r="N215" i="5"/>
  <c r="O215" i="5"/>
  <c r="J216" i="5"/>
  <c r="K216" i="5"/>
  <c r="M216" i="5"/>
  <c r="N216" i="5"/>
  <c r="O216" i="5"/>
  <c r="J217" i="5"/>
  <c r="K217" i="5"/>
  <c r="L217" i="5"/>
  <c r="M217" i="5"/>
  <c r="J218" i="5"/>
  <c r="K218" i="5"/>
  <c r="M218" i="5"/>
  <c r="N218" i="5"/>
  <c r="O218" i="5"/>
  <c r="J219" i="5"/>
  <c r="K219" i="5"/>
  <c r="L219" i="5"/>
  <c r="M219" i="5"/>
  <c r="J221" i="5"/>
  <c r="K221" i="5"/>
  <c r="M221" i="5"/>
  <c r="N221" i="5"/>
  <c r="O221" i="5"/>
  <c r="J222" i="5"/>
  <c r="K222" i="5"/>
  <c r="L222" i="5"/>
  <c r="M222" i="5"/>
  <c r="N222" i="5"/>
  <c r="O222" i="5"/>
  <c r="J223" i="5"/>
  <c r="K223" i="5"/>
  <c r="L223" i="5"/>
  <c r="M223" i="5"/>
  <c r="N223" i="5"/>
  <c r="O223" i="5"/>
  <c r="J224" i="5"/>
  <c r="K224" i="5"/>
  <c r="L224" i="5"/>
  <c r="M224" i="5"/>
  <c r="J225" i="5"/>
  <c r="K225" i="5"/>
  <c r="L225" i="5"/>
  <c r="M225" i="5"/>
  <c r="N225" i="5"/>
  <c r="O225" i="5"/>
  <c r="J226" i="5"/>
  <c r="K226" i="5"/>
  <c r="L226" i="5"/>
  <c r="M226" i="5"/>
  <c r="N226" i="5"/>
  <c r="O226" i="5"/>
  <c r="J227" i="5"/>
  <c r="K227" i="5"/>
  <c r="M227" i="5"/>
  <c r="N227" i="5"/>
  <c r="J228" i="5"/>
  <c r="K228" i="5"/>
  <c r="M228" i="5"/>
  <c r="N228" i="5"/>
  <c r="J229" i="5"/>
  <c r="K229" i="5"/>
  <c r="M229" i="5"/>
  <c r="N229" i="5"/>
  <c r="J230" i="5"/>
  <c r="K230" i="5"/>
  <c r="M230" i="5"/>
  <c r="N230" i="5"/>
  <c r="J231" i="5"/>
  <c r="K231" i="5"/>
  <c r="M231" i="5"/>
  <c r="N231" i="5"/>
  <c r="J232" i="5"/>
  <c r="K232" i="5"/>
  <c r="M232" i="5"/>
  <c r="N232" i="5"/>
  <c r="J233" i="5"/>
  <c r="K233" i="5"/>
  <c r="M233" i="5"/>
  <c r="N233" i="5"/>
  <c r="O233" i="5"/>
  <c r="J234" i="5"/>
  <c r="K234" i="5"/>
  <c r="M234" i="5"/>
  <c r="N234" i="5"/>
  <c r="O234" i="5"/>
  <c r="J235" i="5"/>
  <c r="K235" i="5"/>
  <c r="M235" i="5"/>
  <c r="N235" i="5"/>
  <c r="O235" i="5"/>
  <c r="J237" i="5"/>
  <c r="K237" i="5"/>
  <c r="M237" i="5"/>
  <c r="N237" i="5"/>
  <c r="O237" i="5"/>
  <c r="J238" i="5"/>
  <c r="K238" i="5"/>
  <c r="L238" i="5"/>
  <c r="M238" i="5"/>
  <c r="N238" i="5"/>
  <c r="O238" i="5"/>
  <c r="J239" i="5"/>
  <c r="K239" i="5"/>
  <c r="M239" i="5"/>
  <c r="N239" i="5"/>
  <c r="O239" i="5"/>
  <c r="J240" i="5"/>
  <c r="K240" i="5"/>
  <c r="L240" i="5"/>
  <c r="M240" i="5"/>
  <c r="J241" i="5"/>
  <c r="K241" i="5"/>
  <c r="M241" i="5"/>
  <c r="N241" i="5"/>
  <c r="O241" i="5"/>
  <c r="J242" i="5"/>
  <c r="K242" i="5"/>
  <c r="L242" i="5"/>
  <c r="M242" i="5"/>
  <c r="J243" i="5"/>
  <c r="K243" i="5"/>
  <c r="M243" i="5"/>
  <c r="N243" i="5"/>
  <c r="O243" i="5"/>
  <c r="J244" i="5"/>
  <c r="K244" i="5"/>
  <c r="L244" i="5"/>
  <c r="M244" i="5"/>
  <c r="J245" i="5"/>
  <c r="K245" i="5"/>
  <c r="J246" i="5"/>
  <c r="J247" i="5"/>
  <c r="K247" i="5"/>
  <c r="L247" i="5"/>
  <c r="J248" i="5"/>
  <c r="K248" i="5"/>
  <c r="L248" i="5"/>
  <c r="M248" i="5"/>
  <c r="J249" i="5"/>
  <c r="K249" i="5"/>
  <c r="M249" i="5"/>
  <c r="N249" i="5"/>
  <c r="O249" i="5"/>
  <c r="J250" i="5"/>
  <c r="M250" i="5"/>
  <c r="J251" i="5"/>
  <c r="K251" i="5"/>
  <c r="L251" i="5"/>
  <c r="M251" i="5"/>
  <c r="J252" i="5"/>
  <c r="K252" i="5"/>
  <c r="L252" i="5"/>
  <c r="M252" i="5"/>
  <c r="J253" i="5"/>
  <c r="K253" i="5"/>
  <c r="M253" i="5"/>
  <c r="N253" i="5"/>
  <c r="O253" i="5"/>
  <c r="J254" i="5"/>
  <c r="M254" i="5"/>
  <c r="J255" i="5"/>
  <c r="K255" i="5"/>
  <c r="L255" i="5"/>
  <c r="M255" i="5"/>
  <c r="N255" i="5"/>
  <c r="O255" i="5"/>
  <c r="J256" i="5"/>
  <c r="K256" i="5"/>
  <c r="L256" i="5"/>
  <c r="M256" i="5"/>
  <c r="J257" i="5"/>
  <c r="K257" i="5"/>
  <c r="M257" i="5"/>
  <c r="N257" i="5"/>
  <c r="O257" i="5"/>
  <c r="J258" i="5"/>
  <c r="M258" i="5"/>
  <c r="J259" i="5"/>
  <c r="K259" i="5"/>
  <c r="L259" i="5"/>
  <c r="M259" i="5"/>
  <c r="J260" i="5"/>
  <c r="K260" i="5"/>
  <c r="L260" i="5"/>
  <c r="M260" i="5"/>
  <c r="J261" i="5"/>
  <c r="K261" i="5"/>
  <c r="M261" i="5"/>
  <c r="J262" i="5"/>
  <c r="M262" i="5"/>
  <c r="J263" i="5"/>
  <c r="K263" i="5"/>
  <c r="M263" i="5"/>
  <c r="J264" i="5"/>
  <c r="M264" i="5"/>
  <c r="J265" i="5"/>
  <c r="K265" i="5"/>
  <c r="M265" i="5"/>
  <c r="J266" i="5"/>
  <c r="M266" i="5"/>
  <c r="J267" i="5"/>
  <c r="M267" i="5"/>
  <c r="N267" i="5"/>
  <c r="O267" i="5"/>
  <c r="J268" i="5"/>
  <c r="M268" i="5"/>
  <c r="J269" i="5"/>
  <c r="M269" i="5"/>
  <c r="N269" i="5"/>
  <c r="O269" i="5"/>
  <c r="J270" i="5"/>
  <c r="M270" i="5"/>
  <c r="J271" i="5"/>
  <c r="M271" i="5"/>
  <c r="N271" i="5"/>
  <c r="O271" i="5"/>
  <c r="J272" i="5"/>
  <c r="M272" i="5"/>
  <c r="J273" i="5"/>
  <c r="M273" i="5"/>
  <c r="N273" i="5"/>
  <c r="O273" i="5"/>
  <c r="J274" i="5"/>
  <c r="M274" i="5"/>
  <c r="J275" i="5"/>
  <c r="M275" i="5"/>
  <c r="N275" i="5"/>
  <c r="O275" i="5"/>
  <c r="J276" i="5"/>
  <c r="M276" i="5"/>
  <c r="N276" i="5"/>
  <c r="J277" i="5"/>
  <c r="M277" i="5"/>
  <c r="N277" i="5"/>
  <c r="O277" i="5"/>
  <c r="J278" i="5"/>
  <c r="M278" i="5"/>
  <c r="J279" i="5"/>
  <c r="K279" i="5"/>
  <c r="L279" i="5"/>
  <c r="M279" i="5"/>
  <c r="N279" i="5"/>
  <c r="O279" i="5"/>
  <c r="J280" i="5"/>
  <c r="M280" i="5"/>
  <c r="J281" i="5"/>
  <c r="K281" i="5"/>
  <c r="L281" i="5"/>
  <c r="M281" i="5"/>
  <c r="N281" i="5"/>
  <c r="O281" i="5"/>
  <c r="J282" i="5"/>
  <c r="M282" i="5"/>
  <c r="J283" i="5"/>
  <c r="K283" i="5"/>
  <c r="L283" i="5"/>
  <c r="M283" i="5"/>
  <c r="N283" i="5"/>
  <c r="O283" i="5"/>
  <c r="J284" i="5"/>
  <c r="M284" i="5"/>
  <c r="N284" i="5"/>
  <c r="J285" i="5"/>
  <c r="K285" i="5"/>
  <c r="L285" i="5"/>
  <c r="M285" i="5"/>
  <c r="N285" i="5"/>
  <c r="O285" i="5"/>
  <c r="J286" i="5"/>
  <c r="M286" i="5"/>
  <c r="J287" i="5"/>
  <c r="K287" i="5"/>
  <c r="L287" i="5"/>
  <c r="M287" i="5"/>
  <c r="N287" i="5"/>
  <c r="O287" i="5"/>
  <c r="J288" i="5"/>
  <c r="M288" i="5"/>
  <c r="J289" i="5"/>
  <c r="K289" i="5"/>
  <c r="L289" i="5"/>
  <c r="M289" i="5"/>
  <c r="N289" i="5"/>
  <c r="O289" i="5"/>
  <c r="J290" i="5"/>
  <c r="M290" i="5"/>
  <c r="J291" i="5"/>
  <c r="K291" i="5"/>
  <c r="L291" i="5"/>
  <c r="M291" i="5"/>
  <c r="N291" i="5"/>
  <c r="O291" i="5"/>
  <c r="J292" i="5"/>
  <c r="M292" i="5"/>
  <c r="J293" i="5"/>
  <c r="K293" i="5"/>
  <c r="L293" i="5"/>
  <c r="M293" i="5"/>
  <c r="N293" i="5"/>
  <c r="O293" i="5"/>
  <c r="J294" i="5"/>
  <c r="M294" i="5"/>
  <c r="J295" i="5"/>
  <c r="K295" i="5"/>
  <c r="L295" i="5"/>
  <c r="M295" i="5"/>
  <c r="N295" i="5"/>
  <c r="O295" i="5"/>
  <c r="J296" i="5"/>
  <c r="M296" i="5"/>
  <c r="J297" i="5"/>
  <c r="K297" i="5"/>
  <c r="L297" i="5"/>
  <c r="M297" i="5"/>
  <c r="N297" i="5"/>
  <c r="O297" i="5"/>
  <c r="J298" i="5"/>
  <c r="M298" i="5"/>
  <c r="J299" i="5"/>
  <c r="K299" i="5"/>
  <c r="L299" i="5"/>
  <c r="M299" i="5"/>
  <c r="N299" i="5"/>
  <c r="O299" i="5"/>
  <c r="J300" i="5"/>
  <c r="M300" i="5"/>
  <c r="N300" i="5"/>
  <c r="O300" i="5"/>
  <c r="J301" i="5"/>
  <c r="K301" i="5"/>
  <c r="L301" i="5"/>
  <c r="M301" i="5"/>
  <c r="N301" i="5"/>
  <c r="O301" i="5"/>
  <c r="J302" i="5"/>
  <c r="K302" i="5"/>
  <c r="L302" i="5"/>
  <c r="M302" i="5"/>
  <c r="N302" i="5"/>
  <c r="O302" i="5"/>
  <c r="J303" i="5"/>
  <c r="K303" i="5"/>
  <c r="L303" i="5"/>
  <c r="M303" i="5"/>
  <c r="N303" i="5"/>
  <c r="O303" i="5"/>
  <c r="J304" i="5"/>
  <c r="K304" i="5"/>
  <c r="L304" i="5"/>
  <c r="M304" i="5"/>
  <c r="N304" i="5"/>
  <c r="O304" i="5"/>
  <c r="J305" i="5"/>
  <c r="K305" i="5"/>
  <c r="L305" i="5"/>
  <c r="M305" i="5"/>
  <c r="N305" i="5"/>
  <c r="O305" i="5"/>
  <c r="J306" i="5"/>
  <c r="K306" i="5"/>
  <c r="L306" i="5"/>
  <c r="M306" i="5"/>
  <c r="N306" i="5"/>
  <c r="O306" i="5"/>
  <c r="J307" i="5"/>
  <c r="K307" i="5"/>
  <c r="L307" i="5"/>
  <c r="M307" i="5"/>
  <c r="N307" i="5"/>
  <c r="O307" i="5"/>
  <c r="J308" i="5"/>
  <c r="K308" i="5"/>
  <c r="L308" i="5"/>
  <c r="M308" i="5"/>
  <c r="N308" i="5"/>
  <c r="O308" i="5"/>
  <c r="J309" i="5"/>
  <c r="K309" i="5"/>
  <c r="L309" i="5"/>
  <c r="M309" i="5"/>
  <c r="N309" i="5"/>
  <c r="O309" i="5"/>
  <c r="J310" i="5"/>
  <c r="K310" i="5"/>
  <c r="L310" i="5"/>
  <c r="M310" i="5"/>
  <c r="N310" i="5"/>
  <c r="O310" i="5"/>
  <c r="J311" i="5"/>
  <c r="K311" i="5"/>
  <c r="L311" i="5"/>
  <c r="M311" i="5"/>
  <c r="N311" i="5"/>
  <c r="O311" i="5"/>
  <c r="J312" i="5"/>
  <c r="K312" i="5"/>
  <c r="L312" i="5"/>
  <c r="M312" i="5"/>
  <c r="J313" i="5"/>
  <c r="K313" i="5"/>
  <c r="L313" i="5"/>
  <c r="M313" i="5"/>
  <c r="N313" i="5"/>
  <c r="O313" i="5"/>
  <c r="J314" i="5"/>
  <c r="M314" i="5"/>
  <c r="N314" i="5"/>
  <c r="O314" i="5"/>
  <c r="J315" i="5"/>
  <c r="K315" i="5"/>
  <c r="L315" i="5"/>
  <c r="M315" i="5"/>
  <c r="N315" i="5"/>
  <c r="O315" i="5"/>
  <c r="J316" i="5"/>
  <c r="K316" i="5"/>
  <c r="L316" i="5"/>
  <c r="M316" i="5"/>
  <c r="J317" i="5"/>
  <c r="K317" i="5"/>
  <c r="L317" i="5"/>
  <c r="M317" i="5"/>
  <c r="N317" i="5"/>
  <c r="O317" i="5"/>
  <c r="J318" i="5"/>
  <c r="M318" i="5"/>
  <c r="N318" i="5"/>
  <c r="J319" i="5"/>
  <c r="K319" i="5"/>
  <c r="L319" i="5"/>
  <c r="M319" i="5"/>
  <c r="N319" i="5"/>
  <c r="O319" i="5"/>
  <c r="J320" i="5"/>
  <c r="K320" i="5"/>
  <c r="L320" i="5"/>
  <c r="M320" i="5"/>
  <c r="J321" i="5"/>
  <c r="K321" i="5"/>
  <c r="L321" i="5"/>
  <c r="M321" i="5"/>
  <c r="N321" i="5"/>
  <c r="O321" i="5"/>
  <c r="J322" i="5"/>
  <c r="M322" i="5"/>
  <c r="J323" i="5"/>
  <c r="K323" i="5"/>
  <c r="L323" i="5"/>
  <c r="M323" i="5"/>
  <c r="N323" i="5"/>
  <c r="O323" i="5"/>
  <c r="J324" i="5"/>
  <c r="M324" i="5"/>
  <c r="J325" i="5"/>
  <c r="K325" i="5"/>
  <c r="L325" i="5"/>
  <c r="M325" i="5"/>
  <c r="N325" i="5"/>
  <c r="O325" i="5"/>
  <c r="J326" i="5"/>
  <c r="M326" i="5"/>
  <c r="J327" i="5"/>
  <c r="K327" i="5"/>
  <c r="L327" i="5"/>
  <c r="M327" i="5"/>
  <c r="N327" i="5"/>
  <c r="O327" i="5"/>
  <c r="J328" i="5"/>
  <c r="M328" i="5"/>
  <c r="N328" i="5"/>
  <c r="O328" i="5"/>
  <c r="J329" i="5"/>
  <c r="K329" i="5"/>
  <c r="L329" i="5"/>
  <c r="M329" i="5"/>
  <c r="N329" i="5"/>
  <c r="O329" i="5"/>
  <c r="J330" i="5"/>
  <c r="M330" i="5"/>
  <c r="N330" i="5"/>
  <c r="J331" i="5"/>
  <c r="K331" i="5"/>
  <c r="L331" i="5"/>
  <c r="M331" i="5"/>
  <c r="N331" i="5"/>
  <c r="O331" i="5"/>
  <c r="J332" i="5"/>
  <c r="M332" i="5"/>
  <c r="N332" i="5"/>
  <c r="J333" i="5"/>
  <c r="K333" i="5"/>
  <c r="L333" i="5"/>
  <c r="M333" i="5"/>
  <c r="N333" i="5"/>
  <c r="O333" i="5"/>
  <c r="J334" i="5"/>
  <c r="M334" i="5"/>
  <c r="N334" i="5"/>
  <c r="J335" i="5"/>
  <c r="K335" i="5"/>
  <c r="L335" i="5"/>
  <c r="M335" i="5"/>
  <c r="N335" i="5"/>
  <c r="O335" i="5"/>
  <c r="J336" i="5"/>
  <c r="K336" i="5"/>
  <c r="L336" i="5"/>
  <c r="M336" i="5"/>
  <c r="N336" i="5"/>
  <c r="O336" i="5"/>
  <c r="J337" i="5"/>
  <c r="K337" i="5"/>
  <c r="L337" i="5"/>
  <c r="M337" i="5"/>
  <c r="N337" i="5"/>
  <c r="O337" i="5"/>
  <c r="J338" i="5"/>
  <c r="M338" i="5"/>
  <c r="N338" i="5"/>
  <c r="J339" i="5"/>
  <c r="K339" i="5"/>
  <c r="L339" i="5"/>
  <c r="M339" i="5"/>
  <c r="N339" i="5"/>
  <c r="O339" i="5"/>
  <c r="J340" i="5"/>
  <c r="K340" i="5"/>
  <c r="L340" i="5"/>
  <c r="M340" i="5"/>
  <c r="J341" i="5"/>
  <c r="K341" i="5"/>
  <c r="L341" i="5"/>
  <c r="M341" i="5"/>
  <c r="N341" i="5"/>
  <c r="O341" i="5"/>
  <c r="J342" i="5"/>
  <c r="M342" i="5"/>
  <c r="N342" i="5"/>
  <c r="J343" i="5"/>
  <c r="K343" i="5"/>
  <c r="L343" i="5"/>
  <c r="M343" i="5"/>
  <c r="N343" i="5"/>
  <c r="O343" i="5"/>
  <c r="J344" i="5"/>
  <c r="M344" i="5"/>
  <c r="J345" i="5"/>
  <c r="K345" i="5"/>
  <c r="L345" i="5"/>
  <c r="M345" i="5"/>
  <c r="N345" i="5"/>
  <c r="O345" i="5"/>
  <c r="J346" i="5"/>
  <c r="M346" i="5"/>
  <c r="J347" i="5"/>
  <c r="K347" i="5"/>
  <c r="L347" i="5"/>
  <c r="M347" i="5"/>
  <c r="N347" i="5"/>
  <c r="O347" i="5"/>
  <c r="J348" i="5"/>
  <c r="M348" i="5"/>
  <c r="J349" i="5"/>
  <c r="K349" i="5"/>
  <c r="L349" i="5"/>
  <c r="M349" i="5"/>
  <c r="N349" i="5"/>
  <c r="O349" i="5"/>
  <c r="J350" i="5"/>
  <c r="M350" i="5"/>
  <c r="J351" i="5"/>
  <c r="K351" i="5"/>
  <c r="L351" i="5"/>
  <c r="M351" i="5"/>
  <c r="N351" i="5"/>
  <c r="O351" i="5"/>
  <c r="J352" i="5"/>
  <c r="M352" i="5"/>
  <c r="J353" i="5"/>
  <c r="K353" i="5"/>
  <c r="L353" i="5"/>
  <c r="M353" i="5"/>
  <c r="N353" i="5"/>
  <c r="O353" i="5"/>
  <c r="J354" i="5"/>
  <c r="G97" i="5"/>
  <c r="G98" i="5"/>
  <c r="G99" i="5"/>
  <c r="G100" i="5"/>
  <c r="G101" i="5"/>
  <c r="G102" i="5"/>
  <c r="G103" i="5"/>
  <c r="G104" i="5"/>
  <c r="J18" i="5"/>
  <c r="K18" i="5"/>
  <c r="L18" i="5"/>
  <c r="M18" i="5"/>
  <c r="N18" i="5"/>
  <c r="O18" i="5"/>
  <c r="J19" i="5"/>
  <c r="K19" i="5"/>
  <c r="L19" i="5"/>
  <c r="M19" i="5"/>
  <c r="N19" i="5"/>
  <c r="O19" i="5"/>
  <c r="J20" i="5"/>
  <c r="K20" i="5"/>
  <c r="L20" i="5"/>
  <c r="M20" i="5"/>
  <c r="N20" i="5"/>
  <c r="O20" i="5"/>
  <c r="J21" i="5"/>
  <c r="K21" i="5"/>
  <c r="L21" i="5"/>
  <c r="M21" i="5"/>
  <c r="N21" i="5"/>
  <c r="O21" i="5"/>
  <c r="J22" i="5"/>
  <c r="K22" i="5"/>
  <c r="L22" i="5"/>
  <c r="M22" i="5"/>
  <c r="N22" i="5"/>
  <c r="O22" i="5"/>
  <c r="J23" i="5"/>
  <c r="K23" i="5"/>
  <c r="L23" i="5"/>
  <c r="M23" i="5"/>
  <c r="N23" i="5"/>
  <c r="O23" i="5"/>
  <c r="J24" i="5"/>
  <c r="K24" i="5"/>
  <c r="L24" i="5"/>
  <c r="M24" i="5"/>
  <c r="N24" i="5"/>
  <c r="O24" i="5"/>
  <c r="J25" i="5"/>
  <c r="K25" i="5"/>
  <c r="L25" i="5"/>
  <c r="M25" i="5"/>
  <c r="N25" i="5"/>
  <c r="O25" i="5"/>
  <c r="J26" i="5"/>
  <c r="K26" i="5"/>
  <c r="L26" i="5"/>
  <c r="M26" i="5"/>
  <c r="N26" i="5"/>
  <c r="O26" i="5"/>
  <c r="J27" i="5"/>
  <c r="K27" i="5"/>
  <c r="L27" i="5"/>
  <c r="M27" i="5"/>
  <c r="N27" i="5"/>
  <c r="O27" i="5"/>
  <c r="J28" i="5"/>
  <c r="K28" i="5"/>
  <c r="L28" i="5"/>
  <c r="M28" i="5"/>
  <c r="N28" i="5"/>
  <c r="O28" i="5"/>
  <c r="J29" i="5"/>
  <c r="K29" i="5"/>
  <c r="L29" i="5"/>
  <c r="M29" i="5"/>
  <c r="N29" i="5"/>
  <c r="O29" i="5"/>
  <c r="J30" i="5"/>
  <c r="K30" i="5"/>
  <c r="L30" i="5"/>
  <c r="M30" i="5"/>
  <c r="N30" i="5"/>
  <c r="O30" i="5"/>
  <c r="J31" i="5"/>
  <c r="K31" i="5"/>
  <c r="L31" i="5"/>
  <c r="M31" i="5"/>
  <c r="N31" i="5"/>
  <c r="O31" i="5"/>
  <c r="J32" i="5"/>
  <c r="K32" i="5"/>
  <c r="L32" i="5"/>
  <c r="M32" i="5"/>
  <c r="N32" i="5"/>
  <c r="O32" i="5"/>
  <c r="J33" i="5"/>
  <c r="K33" i="5"/>
  <c r="L33" i="5"/>
  <c r="M33" i="5"/>
  <c r="N33" i="5"/>
  <c r="O33" i="5"/>
  <c r="J34" i="5"/>
  <c r="K34" i="5"/>
  <c r="L34" i="5"/>
  <c r="M34" i="5"/>
  <c r="N34" i="5"/>
  <c r="O34" i="5"/>
  <c r="J35" i="5"/>
  <c r="K35" i="5"/>
  <c r="L35" i="5"/>
  <c r="M35" i="5"/>
  <c r="N35" i="5"/>
  <c r="O35" i="5"/>
  <c r="J36" i="5"/>
  <c r="K36" i="5"/>
  <c r="L36" i="5"/>
  <c r="M36" i="5"/>
  <c r="N36" i="5"/>
  <c r="O36" i="5"/>
  <c r="J37" i="5"/>
  <c r="K37" i="5"/>
  <c r="L37" i="5"/>
  <c r="M37" i="5"/>
  <c r="N37" i="5"/>
  <c r="O37" i="5"/>
  <c r="J38" i="5"/>
  <c r="K38" i="5"/>
  <c r="L38" i="5"/>
  <c r="M38" i="5"/>
  <c r="N38" i="5"/>
  <c r="O38" i="5"/>
  <c r="J39" i="5"/>
  <c r="K39" i="5"/>
  <c r="L39" i="5"/>
  <c r="M39" i="5"/>
  <c r="N39" i="5"/>
  <c r="O39" i="5"/>
  <c r="J40" i="5"/>
  <c r="K40" i="5"/>
  <c r="L40" i="5"/>
  <c r="M40" i="5"/>
  <c r="N40" i="5"/>
  <c r="O40" i="5"/>
  <c r="J41" i="5"/>
  <c r="K41" i="5"/>
  <c r="L41" i="5"/>
  <c r="M41" i="5"/>
  <c r="N41" i="5"/>
  <c r="O41" i="5"/>
  <c r="J42" i="5"/>
  <c r="K42" i="5"/>
  <c r="L42" i="5"/>
  <c r="M42" i="5"/>
  <c r="N42" i="5"/>
  <c r="O42" i="5"/>
  <c r="J43" i="5"/>
  <c r="K43" i="5"/>
  <c r="L43" i="5"/>
  <c r="M43" i="5"/>
  <c r="N43" i="5"/>
  <c r="O43" i="5"/>
  <c r="J44" i="5"/>
  <c r="K44" i="5"/>
  <c r="L44" i="5"/>
  <c r="M44" i="5"/>
  <c r="N44" i="5"/>
  <c r="O44" i="5"/>
  <c r="J45" i="5"/>
  <c r="K45" i="5"/>
  <c r="L45" i="5"/>
  <c r="M45" i="5"/>
  <c r="N45" i="5"/>
  <c r="O45" i="5"/>
  <c r="J46" i="5"/>
  <c r="K46" i="5"/>
  <c r="L46" i="5"/>
  <c r="M46" i="5"/>
  <c r="N46" i="5"/>
  <c r="O46" i="5"/>
  <c r="J47" i="5"/>
  <c r="K47" i="5"/>
  <c r="L47" i="5"/>
  <c r="M47" i="5"/>
  <c r="N47" i="5"/>
  <c r="O47" i="5"/>
  <c r="J48" i="5"/>
  <c r="K48" i="5"/>
  <c r="L48" i="5"/>
  <c r="M48" i="5"/>
  <c r="N48" i="5"/>
  <c r="O48" i="5"/>
  <c r="J49" i="5"/>
  <c r="K49" i="5"/>
  <c r="L49" i="5"/>
  <c r="M49" i="5"/>
  <c r="N49" i="5"/>
  <c r="O49" i="5"/>
  <c r="J50" i="5"/>
  <c r="K50" i="5"/>
  <c r="L50" i="5"/>
  <c r="M50" i="5"/>
  <c r="N50" i="5"/>
  <c r="O50" i="5"/>
  <c r="J51" i="5"/>
  <c r="K51" i="5"/>
  <c r="L51" i="5"/>
  <c r="M51" i="5"/>
  <c r="N51" i="5"/>
  <c r="O51" i="5"/>
  <c r="J52" i="5"/>
  <c r="K52" i="5"/>
  <c r="L52" i="5"/>
  <c r="M52" i="5"/>
  <c r="N52" i="5"/>
  <c r="O52" i="5"/>
  <c r="J53" i="5"/>
  <c r="K53" i="5"/>
  <c r="L53" i="5"/>
  <c r="M53" i="5"/>
  <c r="N53" i="5"/>
  <c r="O53" i="5"/>
  <c r="J54" i="5"/>
  <c r="K54" i="5"/>
  <c r="L54" i="5"/>
  <c r="M54" i="5"/>
  <c r="N54" i="5"/>
  <c r="O54" i="5"/>
  <c r="J55" i="5"/>
  <c r="K55" i="5"/>
  <c r="L55" i="5"/>
  <c r="M55" i="5"/>
  <c r="N55" i="5"/>
  <c r="O55" i="5"/>
  <c r="J56" i="5"/>
  <c r="K56" i="5"/>
  <c r="L56" i="5"/>
  <c r="M56" i="5"/>
  <c r="N56" i="5"/>
  <c r="O56" i="5"/>
  <c r="J57" i="5"/>
  <c r="K57" i="5"/>
  <c r="L57" i="5"/>
  <c r="M57" i="5"/>
  <c r="N57" i="5"/>
  <c r="O57" i="5"/>
  <c r="J58" i="5"/>
  <c r="K58" i="5"/>
  <c r="L58" i="5"/>
  <c r="M58" i="5"/>
  <c r="N58" i="5"/>
  <c r="O58" i="5"/>
  <c r="J59" i="5"/>
  <c r="K59" i="5"/>
  <c r="L59" i="5"/>
  <c r="M59" i="5"/>
  <c r="N59" i="5"/>
  <c r="O59" i="5"/>
  <c r="J60" i="5"/>
  <c r="K60" i="5"/>
  <c r="L60" i="5"/>
  <c r="M60" i="5"/>
  <c r="N60" i="5"/>
  <c r="O60" i="5"/>
  <c r="J61" i="5"/>
  <c r="K61" i="5"/>
  <c r="L61" i="5"/>
  <c r="M61" i="5"/>
  <c r="N61" i="5"/>
  <c r="O61" i="5"/>
  <c r="J62" i="5"/>
  <c r="K62" i="5"/>
  <c r="L62" i="5"/>
  <c r="M62" i="5"/>
  <c r="N62" i="5"/>
  <c r="O62" i="5"/>
  <c r="J63" i="5"/>
  <c r="K63" i="5"/>
  <c r="L63" i="5"/>
  <c r="M63" i="5"/>
  <c r="N63" i="5"/>
  <c r="O63" i="5"/>
  <c r="J64" i="5"/>
  <c r="K64" i="5"/>
  <c r="L64" i="5"/>
  <c r="M64" i="5"/>
  <c r="N64" i="5"/>
  <c r="O64" i="5"/>
  <c r="J65" i="5"/>
  <c r="K65" i="5"/>
  <c r="L65" i="5"/>
  <c r="M65" i="5"/>
  <c r="N65" i="5"/>
  <c r="O65" i="5"/>
  <c r="J66" i="5"/>
  <c r="K66" i="5"/>
  <c r="L66" i="5"/>
  <c r="M66" i="5"/>
  <c r="N66" i="5"/>
  <c r="O66" i="5"/>
  <c r="J67" i="5"/>
  <c r="K67" i="5"/>
  <c r="L67" i="5"/>
  <c r="M67" i="5"/>
  <c r="N67" i="5"/>
  <c r="O67" i="5"/>
  <c r="J68" i="5"/>
  <c r="K68" i="5"/>
  <c r="L68" i="5"/>
  <c r="M68" i="5"/>
  <c r="N68" i="5"/>
  <c r="O68" i="5"/>
  <c r="J69" i="5"/>
  <c r="K69" i="5"/>
  <c r="L69" i="5"/>
  <c r="M69" i="5"/>
  <c r="N69" i="5"/>
  <c r="O69" i="5"/>
  <c r="J70" i="5"/>
  <c r="K70" i="5"/>
  <c r="L70" i="5"/>
  <c r="M70" i="5"/>
  <c r="N70" i="5"/>
  <c r="O70" i="5"/>
  <c r="J71" i="5"/>
  <c r="K71" i="5"/>
  <c r="L71" i="5"/>
  <c r="M71" i="5"/>
  <c r="N71" i="5"/>
  <c r="O71" i="5"/>
  <c r="J72" i="5"/>
  <c r="K72" i="5"/>
  <c r="L72" i="5"/>
  <c r="M72" i="5"/>
  <c r="N72" i="5"/>
  <c r="O72" i="5"/>
  <c r="J73" i="5"/>
  <c r="K73" i="5"/>
  <c r="L73" i="5"/>
  <c r="M73" i="5"/>
  <c r="N73" i="5"/>
  <c r="O73" i="5"/>
  <c r="J74" i="5"/>
  <c r="K74" i="5"/>
  <c r="L74" i="5"/>
  <c r="M74" i="5"/>
  <c r="N74" i="5"/>
  <c r="O74" i="5"/>
  <c r="J75" i="5"/>
  <c r="K75" i="5"/>
  <c r="L75" i="5"/>
  <c r="M75" i="5"/>
  <c r="N75" i="5"/>
  <c r="O75" i="5"/>
  <c r="J76" i="5"/>
  <c r="K76" i="5"/>
  <c r="L76" i="5"/>
  <c r="M76" i="5"/>
  <c r="N76" i="5"/>
  <c r="O76" i="5"/>
  <c r="J77" i="5"/>
  <c r="K77" i="5"/>
  <c r="L77" i="5"/>
  <c r="M77" i="5"/>
  <c r="N77" i="5"/>
  <c r="O77" i="5"/>
  <c r="J78" i="5"/>
  <c r="K78" i="5"/>
  <c r="L78" i="5"/>
  <c r="M78" i="5"/>
  <c r="N78" i="5"/>
  <c r="O78" i="5"/>
  <c r="J79" i="5"/>
  <c r="K79" i="5"/>
  <c r="L79" i="5"/>
  <c r="M79" i="5"/>
  <c r="N79" i="5"/>
  <c r="O79" i="5"/>
  <c r="J80" i="5"/>
  <c r="K80" i="5"/>
  <c r="L80" i="5"/>
  <c r="M80" i="5"/>
  <c r="N80" i="5"/>
  <c r="O80" i="5"/>
  <c r="J81" i="5"/>
  <c r="K81" i="5"/>
  <c r="L81" i="5"/>
  <c r="M81" i="5"/>
  <c r="N81" i="5"/>
  <c r="O81" i="5"/>
  <c r="J82" i="5"/>
  <c r="K82" i="5"/>
  <c r="L82" i="5"/>
  <c r="M82" i="5"/>
  <c r="N82" i="5"/>
  <c r="O82" i="5"/>
  <c r="J83" i="5"/>
  <c r="K83" i="5"/>
  <c r="L83" i="5"/>
  <c r="M83" i="5"/>
  <c r="N83" i="5"/>
  <c r="O83" i="5"/>
  <c r="J84" i="5"/>
  <c r="K84" i="5"/>
  <c r="L84" i="5"/>
  <c r="M84" i="5"/>
  <c r="N84" i="5"/>
  <c r="O84" i="5"/>
  <c r="J85" i="5"/>
  <c r="K85" i="5"/>
  <c r="L85" i="5"/>
  <c r="M85" i="5"/>
  <c r="N85" i="5"/>
  <c r="O85" i="5"/>
  <c r="J86" i="5"/>
  <c r="K86" i="5"/>
  <c r="L86" i="5"/>
  <c r="M86" i="5"/>
  <c r="N86" i="5"/>
  <c r="O86" i="5"/>
  <c r="J87" i="5"/>
  <c r="K87" i="5"/>
  <c r="L87" i="5"/>
  <c r="M87" i="5"/>
  <c r="N87" i="5"/>
  <c r="O87" i="5"/>
  <c r="J88" i="5"/>
  <c r="K88" i="5"/>
  <c r="L88" i="5"/>
  <c r="M88" i="5"/>
  <c r="N88" i="5"/>
  <c r="O88" i="5"/>
  <c r="J89" i="5"/>
  <c r="K89" i="5"/>
  <c r="L89" i="5"/>
  <c r="M89" i="5"/>
  <c r="N89" i="5"/>
  <c r="O89" i="5"/>
  <c r="J90" i="5"/>
  <c r="K90" i="5"/>
  <c r="L90" i="5"/>
  <c r="M90" i="5"/>
  <c r="N90" i="5"/>
  <c r="O90" i="5"/>
  <c r="J91" i="5"/>
  <c r="K91" i="5"/>
  <c r="L91" i="5"/>
  <c r="M91" i="5"/>
  <c r="N91" i="5"/>
  <c r="O91" i="5"/>
  <c r="J92" i="5"/>
  <c r="K92" i="5"/>
  <c r="L92" i="5"/>
  <c r="M92" i="5"/>
  <c r="N92" i="5"/>
  <c r="O92" i="5"/>
  <c r="J93" i="5"/>
  <c r="K93" i="5"/>
  <c r="L93" i="5"/>
  <c r="M93" i="5"/>
  <c r="N93" i="5"/>
  <c r="O93" i="5"/>
  <c r="J94" i="5"/>
  <c r="K94" i="5"/>
  <c r="L94" i="5"/>
  <c r="M94" i="5"/>
  <c r="N94" i="5"/>
  <c r="O94" i="5"/>
  <c r="J95" i="5"/>
  <c r="K95" i="5"/>
  <c r="L95" i="5"/>
  <c r="M95" i="5"/>
  <c r="N95" i="5"/>
  <c r="O95" i="5"/>
  <c r="J10" i="5"/>
  <c r="K10" i="5"/>
  <c r="L10" i="5"/>
  <c r="M10" i="5"/>
  <c r="N10" i="5"/>
  <c r="O10" i="5"/>
  <c r="J11" i="5"/>
  <c r="K11" i="5"/>
  <c r="L11" i="5"/>
  <c r="M11" i="5"/>
  <c r="N11" i="5"/>
  <c r="O11" i="5"/>
  <c r="M12" i="5"/>
  <c r="N12" i="5"/>
  <c r="O12" i="5"/>
  <c r="J13" i="5"/>
  <c r="K13" i="5"/>
  <c r="L13" i="5"/>
  <c r="M13" i="5"/>
  <c r="N13" i="5"/>
  <c r="O13" i="5"/>
  <c r="J14" i="5"/>
  <c r="K14" i="5"/>
  <c r="L14" i="5"/>
  <c r="M14" i="5"/>
  <c r="N14" i="5"/>
  <c r="O14" i="5"/>
  <c r="J15" i="5"/>
  <c r="K15" i="5"/>
  <c r="L15" i="5"/>
  <c r="M15" i="5"/>
  <c r="N15" i="5"/>
  <c r="O15" i="5"/>
  <c r="J16" i="5"/>
  <c r="K16" i="5"/>
  <c r="L16" i="5"/>
  <c r="M16" i="5"/>
  <c r="N16" i="5"/>
  <c r="O16" i="5"/>
  <c r="J17" i="5"/>
  <c r="K17" i="5"/>
  <c r="L17" i="5"/>
  <c r="M17" i="5"/>
  <c r="N17" i="5"/>
  <c r="O17" i="5"/>
  <c r="M9" i="5"/>
  <c r="N9" i="5"/>
  <c r="O9" i="5"/>
  <c r="J9" i="5"/>
  <c r="K9" i="5"/>
  <c r="L9" i="5"/>
  <c r="M8" i="5"/>
  <c r="N8" i="5"/>
  <c r="O8" i="5"/>
  <c r="J8" i="5"/>
  <c r="K8" i="5"/>
  <c r="L8" i="5"/>
  <c r="M7" i="5"/>
  <c r="N7" i="5"/>
  <c r="O7" i="5"/>
  <c r="J7" i="5"/>
  <c r="K7" i="5"/>
  <c r="L7" i="5"/>
  <c r="M6" i="5"/>
  <c r="N6" i="5"/>
  <c r="O6" i="5"/>
  <c r="J6" i="5"/>
  <c r="K6" i="5"/>
  <c r="L6" i="5"/>
  <c r="J131" i="3"/>
  <c r="K131" i="3"/>
  <c r="L131" i="3"/>
  <c r="M131" i="3"/>
  <c r="N131" i="3"/>
  <c r="O131" i="3"/>
  <c r="J132" i="3"/>
  <c r="K132" i="3"/>
  <c r="L132" i="3"/>
  <c r="M132" i="3"/>
  <c r="N132" i="3"/>
  <c r="O132" i="3"/>
  <c r="J133" i="3"/>
  <c r="K133" i="3"/>
  <c r="L133" i="3"/>
  <c r="M133" i="3"/>
  <c r="N133" i="3"/>
  <c r="O133" i="3"/>
  <c r="J134" i="3"/>
  <c r="K134" i="3"/>
  <c r="L134" i="3"/>
  <c r="M134" i="3"/>
  <c r="N134" i="3"/>
  <c r="O134" i="3"/>
  <c r="J135" i="3"/>
  <c r="K135" i="3"/>
  <c r="L135" i="3"/>
  <c r="M135" i="3"/>
  <c r="N135" i="3"/>
  <c r="O135" i="3"/>
  <c r="J136" i="3"/>
  <c r="K136" i="3"/>
  <c r="L136" i="3"/>
  <c r="M136" i="3"/>
  <c r="N136" i="3"/>
  <c r="O136" i="3"/>
  <c r="J137" i="3"/>
  <c r="K137" i="3"/>
  <c r="L137" i="3"/>
  <c r="M137" i="3"/>
  <c r="N137" i="3"/>
  <c r="O137" i="3"/>
  <c r="J138" i="3"/>
  <c r="K138" i="3"/>
  <c r="L138" i="3"/>
  <c r="M138" i="3"/>
  <c r="N138" i="3"/>
  <c r="O138" i="3"/>
  <c r="J139" i="3"/>
  <c r="K139" i="3"/>
  <c r="L139" i="3"/>
  <c r="M139" i="3"/>
  <c r="N139" i="3"/>
  <c r="O139" i="3"/>
  <c r="J127" i="3"/>
  <c r="K127" i="3"/>
  <c r="L127" i="3"/>
  <c r="M127" i="3"/>
  <c r="N127" i="3"/>
  <c r="O127" i="3"/>
  <c r="J128" i="3"/>
  <c r="K128" i="3"/>
  <c r="L128" i="3"/>
  <c r="M128" i="3"/>
  <c r="N128" i="3"/>
  <c r="O128" i="3"/>
  <c r="J129" i="3"/>
  <c r="K129" i="3"/>
  <c r="L129" i="3"/>
  <c r="M129" i="3"/>
  <c r="N129" i="3"/>
  <c r="O129" i="3"/>
  <c r="J130" i="3"/>
  <c r="K130" i="3"/>
  <c r="L130" i="3"/>
  <c r="M130" i="3"/>
  <c r="N130" i="3"/>
  <c r="O130" i="3"/>
  <c r="J122" i="3"/>
  <c r="K122" i="3"/>
  <c r="L122" i="3"/>
  <c r="M122" i="3"/>
  <c r="N122" i="3"/>
  <c r="O122" i="3"/>
  <c r="J123" i="3"/>
  <c r="K123" i="3"/>
  <c r="L123" i="3"/>
  <c r="M123" i="3"/>
  <c r="N123" i="3"/>
  <c r="O123" i="3"/>
  <c r="J124" i="3"/>
  <c r="K124" i="3"/>
  <c r="L124" i="3"/>
  <c r="M124" i="3"/>
  <c r="N124" i="3"/>
  <c r="O124" i="3"/>
  <c r="J125" i="3"/>
  <c r="K125" i="3"/>
  <c r="L125" i="3"/>
  <c r="M125" i="3"/>
  <c r="N125" i="3"/>
  <c r="O125" i="3"/>
  <c r="J126" i="3"/>
  <c r="K126" i="3"/>
  <c r="L126" i="3"/>
  <c r="M126" i="3"/>
  <c r="N126" i="3"/>
  <c r="O126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98" i="3"/>
  <c r="G99" i="3"/>
  <c r="G100" i="3"/>
  <c r="G101" i="3"/>
  <c r="G102" i="3"/>
  <c r="G103" i="3"/>
  <c r="G104" i="3"/>
  <c r="G105" i="3"/>
  <c r="G106" i="3"/>
  <c r="J98" i="3"/>
  <c r="K98" i="3"/>
  <c r="M98" i="3"/>
  <c r="N98" i="3"/>
  <c r="J99" i="3"/>
  <c r="K99" i="3"/>
  <c r="M99" i="3"/>
  <c r="N99" i="3"/>
  <c r="J100" i="3"/>
  <c r="K100" i="3"/>
  <c r="M100" i="3"/>
  <c r="N100" i="3"/>
  <c r="J101" i="3"/>
  <c r="K101" i="3"/>
  <c r="M101" i="3"/>
  <c r="N101" i="3"/>
  <c r="J102" i="3"/>
  <c r="K102" i="3"/>
  <c r="M102" i="3"/>
  <c r="N102" i="3"/>
  <c r="J103" i="3"/>
  <c r="K103" i="3"/>
  <c r="M103" i="3"/>
  <c r="N103" i="3"/>
  <c r="J104" i="3"/>
  <c r="K104" i="3"/>
  <c r="M104" i="3"/>
  <c r="N104" i="3"/>
  <c r="J105" i="3"/>
  <c r="K105" i="3"/>
  <c r="M105" i="3"/>
  <c r="N105" i="3"/>
  <c r="J106" i="3"/>
  <c r="K106" i="3"/>
  <c r="M106" i="3"/>
  <c r="N106" i="3"/>
  <c r="J107" i="3"/>
  <c r="K107" i="3"/>
  <c r="L107" i="3"/>
  <c r="M107" i="3"/>
  <c r="N107" i="3"/>
  <c r="O107" i="3"/>
  <c r="J108" i="3"/>
  <c r="K108" i="3"/>
  <c r="M108" i="3"/>
  <c r="N108" i="3"/>
  <c r="J109" i="3"/>
  <c r="K109" i="3"/>
  <c r="M109" i="3"/>
  <c r="N109" i="3"/>
  <c r="J110" i="3"/>
  <c r="K110" i="3"/>
  <c r="M110" i="3"/>
  <c r="N110" i="3"/>
  <c r="J111" i="3"/>
  <c r="K111" i="3"/>
  <c r="M111" i="3"/>
  <c r="N111" i="3"/>
  <c r="J112" i="3"/>
  <c r="K112" i="3"/>
  <c r="M112" i="3"/>
  <c r="N112" i="3"/>
  <c r="J113" i="3"/>
  <c r="K113" i="3"/>
  <c r="M113" i="3"/>
  <c r="N113" i="3"/>
  <c r="J114" i="3"/>
  <c r="K114" i="3"/>
  <c r="M114" i="3"/>
  <c r="N114" i="3"/>
  <c r="J115" i="3"/>
  <c r="K115" i="3"/>
  <c r="M115" i="3"/>
  <c r="N115" i="3"/>
  <c r="J116" i="3"/>
  <c r="K116" i="3"/>
  <c r="M116" i="3"/>
  <c r="N116" i="3"/>
  <c r="J117" i="3"/>
  <c r="K117" i="3"/>
  <c r="M117" i="3"/>
  <c r="N117" i="3"/>
  <c r="J118" i="3"/>
  <c r="K118" i="3"/>
  <c r="M118" i="3"/>
  <c r="N118" i="3"/>
  <c r="J119" i="3"/>
  <c r="K119" i="3"/>
  <c r="M119" i="3"/>
  <c r="N119" i="3"/>
  <c r="J120" i="3"/>
  <c r="K120" i="3"/>
  <c r="M120" i="3"/>
  <c r="N120" i="3"/>
  <c r="J121" i="3"/>
  <c r="K121" i="3"/>
  <c r="M121" i="3"/>
  <c r="N121" i="3"/>
  <c r="J95" i="3"/>
  <c r="K95" i="3"/>
  <c r="L95" i="3"/>
  <c r="M95" i="3"/>
  <c r="N95" i="3"/>
  <c r="O95" i="3"/>
  <c r="J96" i="3"/>
  <c r="K96" i="3"/>
  <c r="L96" i="3"/>
  <c r="M96" i="3"/>
  <c r="N96" i="3"/>
  <c r="O96" i="3"/>
  <c r="J97" i="3"/>
  <c r="K97" i="3"/>
  <c r="L97" i="3"/>
  <c r="M97" i="3"/>
  <c r="N97" i="3"/>
  <c r="O97" i="3"/>
  <c r="J94" i="3"/>
  <c r="K94" i="3"/>
  <c r="L94" i="3"/>
  <c r="M94" i="3"/>
  <c r="N94" i="3"/>
  <c r="O94" i="3"/>
  <c r="J73" i="3"/>
  <c r="K73" i="3"/>
  <c r="L73" i="3"/>
  <c r="M73" i="3"/>
  <c r="N73" i="3"/>
  <c r="O73" i="3"/>
  <c r="J74" i="3"/>
  <c r="K74" i="3"/>
  <c r="L74" i="3"/>
  <c r="M74" i="3"/>
  <c r="N74" i="3"/>
  <c r="O74" i="3"/>
  <c r="J75" i="3"/>
  <c r="K75" i="3"/>
  <c r="L75" i="3"/>
  <c r="M75" i="3"/>
  <c r="N75" i="3"/>
  <c r="O75" i="3"/>
  <c r="J76" i="3"/>
  <c r="K76" i="3"/>
  <c r="L76" i="3"/>
  <c r="M76" i="3"/>
  <c r="N76" i="3"/>
  <c r="O76" i="3"/>
  <c r="J77" i="3"/>
  <c r="K77" i="3"/>
  <c r="L77" i="3"/>
  <c r="M77" i="3"/>
  <c r="N77" i="3"/>
  <c r="O77" i="3"/>
  <c r="J78" i="3"/>
  <c r="K78" i="3"/>
  <c r="L78" i="3"/>
  <c r="M78" i="3"/>
  <c r="N78" i="3"/>
  <c r="O78" i="3"/>
  <c r="J79" i="3"/>
  <c r="K79" i="3"/>
  <c r="L79" i="3"/>
  <c r="M79" i="3"/>
  <c r="N79" i="3"/>
  <c r="O79" i="3"/>
  <c r="J80" i="3"/>
  <c r="K80" i="3"/>
  <c r="L80" i="3"/>
  <c r="M80" i="3"/>
  <c r="N80" i="3"/>
  <c r="O80" i="3"/>
  <c r="J81" i="3"/>
  <c r="K81" i="3"/>
  <c r="L81" i="3"/>
  <c r="M81" i="3"/>
  <c r="N81" i="3"/>
  <c r="O81" i="3"/>
  <c r="J82" i="3"/>
  <c r="K82" i="3"/>
  <c r="L82" i="3"/>
  <c r="M82" i="3"/>
  <c r="N82" i="3"/>
  <c r="O82" i="3"/>
  <c r="J83" i="3"/>
  <c r="K83" i="3"/>
  <c r="L83" i="3"/>
  <c r="M83" i="3"/>
  <c r="N83" i="3"/>
  <c r="O83" i="3"/>
  <c r="J84" i="3"/>
  <c r="K84" i="3"/>
  <c r="L84" i="3"/>
  <c r="M84" i="3"/>
  <c r="N84" i="3"/>
  <c r="O84" i="3"/>
  <c r="J85" i="3"/>
  <c r="K85" i="3"/>
  <c r="L85" i="3"/>
  <c r="M85" i="3"/>
  <c r="N85" i="3"/>
  <c r="O85" i="3"/>
  <c r="J86" i="3"/>
  <c r="K86" i="3"/>
  <c r="L86" i="3"/>
  <c r="M86" i="3"/>
  <c r="N86" i="3"/>
  <c r="O86" i="3"/>
  <c r="J87" i="3"/>
  <c r="K87" i="3"/>
  <c r="L87" i="3"/>
  <c r="M87" i="3"/>
  <c r="N87" i="3"/>
  <c r="O87" i="3"/>
  <c r="J88" i="3"/>
  <c r="K88" i="3"/>
  <c r="L88" i="3"/>
  <c r="M88" i="3"/>
  <c r="N88" i="3"/>
  <c r="O88" i="3"/>
  <c r="J89" i="3"/>
  <c r="K89" i="3"/>
  <c r="L89" i="3"/>
  <c r="M89" i="3"/>
  <c r="N89" i="3"/>
  <c r="O89" i="3"/>
  <c r="J92" i="3"/>
  <c r="K92" i="3"/>
  <c r="L92" i="3"/>
  <c r="M92" i="3"/>
  <c r="N92" i="3"/>
  <c r="O92" i="3"/>
  <c r="J93" i="3"/>
  <c r="K93" i="3"/>
  <c r="L93" i="3"/>
  <c r="M93" i="3"/>
  <c r="N93" i="3"/>
  <c r="O93" i="3"/>
  <c r="J60" i="3"/>
  <c r="K60" i="3"/>
  <c r="M60" i="3"/>
  <c r="N60" i="3"/>
  <c r="J61" i="3"/>
  <c r="K61" i="3"/>
  <c r="M61" i="3"/>
  <c r="N61" i="3"/>
  <c r="J62" i="3"/>
  <c r="K62" i="3"/>
  <c r="M62" i="3"/>
  <c r="N62" i="3"/>
  <c r="J63" i="3"/>
  <c r="K63" i="3"/>
  <c r="M63" i="3"/>
  <c r="N63" i="3"/>
  <c r="J64" i="3"/>
  <c r="K64" i="3"/>
  <c r="M64" i="3"/>
  <c r="N64" i="3"/>
  <c r="J65" i="3"/>
  <c r="K65" i="3"/>
  <c r="M65" i="3"/>
  <c r="N65" i="3"/>
  <c r="J66" i="3"/>
  <c r="K66" i="3"/>
  <c r="M66" i="3"/>
  <c r="N66" i="3"/>
  <c r="J67" i="3"/>
  <c r="K67" i="3"/>
  <c r="L67" i="3"/>
  <c r="M67" i="3"/>
  <c r="N67" i="3"/>
  <c r="O67" i="3"/>
  <c r="J68" i="3"/>
  <c r="K68" i="3"/>
  <c r="M68" i="3"/>
  <c r="N68" i="3"/>
  <c r="J69" i="3"/>
  <c r="K69" i="3"/>
  <c r="M69" i="3"/>
  <c r="N69" i="3"/>
  <c r="J70" i="3"/>
  <c r="K70" i="3"/>
  <c r="M70" i="3"/>
  <c r="N70" i="3"/>
  <c r="J71" i="3"/>
  <c r="K71" i="3"/>
  <c r="M71" i="3"/>
  <c r="N71" i="3"/>
  <c r="J72" i="3"/>
  <c r="K72" i="3"/>
  <c r="M72" i="3"/>
  <c r="N72" i="3"/>
  <c r="G68" i="3"/>
  <c r="G69" i="3"/>
  <c r="G70" i="3"/>
  <c r="G71" i="3"/>
  <c r="G72" i="3"/>
  <c r="G59" i="3"/>
  <c r="G60" i="3"/>
  <c r="G61" i="3"/>
  <c r="G62" i="3"/>
  <c r="G63" i="3"/>
  <c r="G64" i="3"/>
  <c r="G65" i="3"/>
  <c r="G66" i="3"/>
  <c r="J47" i="3"/>
  <c r="K47" i="3"/>
  <c r="L47" i="3"/>
  <c r="M47" i="3"/>
  <c r="N47" i="3"/>
  <c r="O47" i="3"/>
  <c r="J48" i="3"/>
  <c r="K48" i="3"/>
  <c r="M48" i="3"/>
  <c r="N48" i="3"/>
  <c r="J49" i="3"/>
  <c r="K49" i="3"/>
  <c r="M49" i="3"/>
  <c r="N49" i="3"/>
  <c r="J50" i="3"/>
  <c r="K50" i="3"/>
  <c r="M50" i="3"/>
  <c r="N50" i="3"/>
  <c r="J51" i="3"/>
  <c r="K51" i="3"/>
  <c r="M51" i="3"/>
  <c r="N51" i="3"/>
  <c r="J52" i="3"/>
  <c r="K52" i="3"/>
  <c r="M52" i="3"/>
  <c r="N52" i="3"/>
  <c r="J53" i="3"/>
  <c r="K53" i="3"/>
  <c r="M53" i="3"/>
  <c r="N53" i="3"/>
  <c r="J54" i="3"/>
  <c r="K54" i="3"/>
  <c r="M54" i="3"/>
  <c r="N54" i="3"/>
  <c r="J55" i="3"/>
  <c r="K55" i="3"/>
  <c r="M55" i="3"/>
  <c r="N55" i="3"/>
  <c r="J56" i="3"/>
  <c r="K56" i="3"/>
  <c r="M56" i="3"/>
  <c r="N56" i="3"/>
  <c r="J58" i="3"/>
  <c r="K58" i="3"/>
  <c r="L58" i="3"/>
  <c r="M58" i="3"/>
  <c r="N58" i="3"/>
  <c r="O58" i="3"/>
  <c r="J59" i="3"/>
  <c r="K59" i="3"/>
  <c r="M59" i="3"/>
  <c r="N59" i="3"/>
  <c r="G48" i="3"/>
  <c r="G49" i="3"/>
  <c r="G50" i="3"/>
  <c r="G51" i="3"/>
  <c r="G52" i="3"/>
  <c r="G53" i="3"/>
  <c r="G54" i="3"/>
  <c r="G55" i="3"/>
  <c r="G56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30" i="3"/>
  <c r="G31" i="3"/>
  <c r="G32" i="3"/>
  <c r="G33" i="3"/>
  <c r="G34" i="3"/>
  <c r="J16" i="3"/>
  <c r="K16" i="3"/>
  <c r="M16" i="3"/>
  <c r="N16" i="3"/>
  <c r="J17" i="3"/>
  <c r="K17" i="3"/>
  <c r="M17" i="3"/>
  <c r="N17" i="3"/>
  <c r="J18" i="3"/>
  <c r="K18" i="3"/>
  <c r="M18" i="3"/>
  <c r="N18" i="3"/>
  <c r="J19" i="3"/>
  <c r="K19" i="3"/>
  <c r="M19" i="3"/>
  <c r="N19" i="3"/>
  <c r="J20" i="3"/>
  <c r="K20" i="3"/>
  <c r="M20" i="3"/>
  <c r="N20" i="3"/>
  <c r="J21" i="3"/>
  <c r="K21" i="3"/>
  <c r="M21" i="3"/>
  <c r="N21" i="3"/>
  <c r="J22" i="3"/>
  <c r="K22" i="3"/>
  <c r="M22" i="3"/>
  <c r="N22" i="3"/>
  <c r="J23" i="3"/>
  <c r="K23" i="3"/>
  <c r="M23" i="3"/>
  <c r="N23" i="3"/>
  <c r="J24" i="3"/>
  <c r="K24" i="3"/>
  <c r="M24" i="3"/>
  <c r="N24" i="3"/>
  <c r="J25" i="3"/>
  <c r="K25" i="3"/>
  <c r="M25" i="3"/>
  <c r="N25" i="3"/>
  <c r="J26" i="3"/>
  <c r="K26" i="3"/>
  <c r="M26" i="3"/>
  <c r="N26" i="3"/>
  <c r="J27" i="3"/>
  <c r="K27" i="3"/>
  <c r="M27" i="3"/>
  <c r="N27" i="3"/>
  <c r="J28" i="3"/>
  <c r="K28" i="3"/>
  <c r="M28" i="3"/>
  <c r="N28" i="3"/>
  <c r="J29" i="3"/>
  <c r="K29" i="3"/>
  <c r="L29" i="3"/>
  <c r="M29" i="3"/>
  <c r="N29" i="3"/>
  <c r="O29" i="3"/>
  <c r="J30" i="3"/>
  <c r="K30" i="3"/>
  <c r="M30" i="3"/>
  <c r="N30" i="3"/>
  <c r="J31" i="3"/>
  <c r="K31" i="3"/>
  <c r="M31" i="3"/>
  <c r="N31" i="3"/>
  <c r="J32" i="3"/>
  <c r="K32" i="3"/>
  <c r="M32" i="3"/>
  <c r="N32" i="3"/>
  <c r="J33" i="3"/>
  <c r="K33" i="3"/>
  <c r="M33" i="3"/>
  <c r="N33" i="3"/>
  <c r="J34" i="3"/>
  <c r="K34" i="3"/>
  <c r="M34" i="3"/>
  <c r="N34" i="3"/>
  <c r="J35" i="3"/>
  <c r="K35" i="3"/>
  <c r="L35" i="3"/>
  <c r="M35" i="3"/>
  <c r="N35" i="3"/>
  <c r="O35" i="3"/>
  <c r="J36" i="3"/>
  <c r="K36" i="3"/>
  <c r="L36" i="3"/>
  <c r="M36" i="3"/>
  <c r="N36" i="3"/>
  <c r="O36" i="3"/>
  <c r="J37" i="3"/>
  <c r="K37" i="3"/>
  <c r="L37" i="3"/>
  <c r="M37" i="3"/>
  <c r="N37" i="3"/>
  <c r="O37" i="3"/>
  <c r="J38" i="3"/>
  <c r="K38" i="3"/>
  <c r="L38" i="3"/>
  <c r="M38" i="3"/>
  <c r="N38" i="3"/>
  <c r="O38" i="3"/>
  <c r="J39" i="3"/>
  <c r="K39" i="3"/>
  <c r="L39" i="3"/>
  <c r="M39" i="3"/>
  <c r="N39" i="3"/>
  <c r="O39" i="3"/>
  <c r="J40" i="3"/>
  <c r="K40" i="3"/>
  <c r="L40" i="3"/>
  <c r="M40" i="3"/>
  <c r="N40" i="3"/>
  <c r="O40" i="3"/>
  <c r="J41" i="3"/>
  <c r="K41" i="3"/>
  <c r="L41" i="3"/>
  <c r="M41" i="3"/>
  <c r="N41" i="3"/>
  <c r="O41" i="3"/>
  <c r="J43" i="3"/>
  <c r="K43" i="3"/>
  <c r="L43" i="3"/>
  <c r="M43" i="3"/>
  <c r="N43" i="3"/>
  <c r="O43" i="3"/>
  <c r="J44" i="3"/>
  <c r="K44" i="3"/>
  <c r="L44" i="3"/>
  <c r="M44" i="3"/>
  <c r="N44" i="3"/>
  <c r="O44" i="3"/>
  <c r="J45" i="3"/>
  <c r="K45" i="3"/>
  <c r="L45" i="3"/>
  <c r="M45" i="3"/>
  <c r="N45" i="3"/>
  <c r="O45" i="3"/>
  <c r="J46" i="3"/>
  <c r="K46" i="3"/>
  <c r="L46" i="3"/>
  <c r="M46" i="3"/>
  <c r="N46" i="3"/>
  <c r="O46" i="3"/>
  <c r="M15" i="3"/>
  <c r="N15" i="3"/>
  <c r="M14" i="3"/>
  <c r="N14" i="3"/>
  <c r="O14" i="3"/>
  <c r="M12" i="3"/>
  <c r="N12" i="3"/>
  <c r="O12" i="3"/>
  <c r="M11" i="3"/>
  <c r="N11" i="3"/>
  <c r="O11" i="3"/>
  <c r="M10" i="3"/>
  <c r="N10" i="3"/>
  <c r="O10" i="3"/>
  <c r="M9" i="3"/>
  <c r="N9" i="3"/>
  <c r="O9" i="3"/>
  <c r="M8" i="3"/>
  <c r="N8" i="3"/>
  <c r="O8" i="3"/>
  <c r="M7" i="3"/>
  <c r="N7" i="3"/>
  <c r="O7" i="3"/>
  <c r="M6" i="3"/>
  <c r="N6" i="3"/>
  <c r="O6" i="3"/>
  <c r="J15" i="3"/>
  <c r="K15" i="3"/>
  <c r="J14" i="3"/>
  <c r="K14" i="3"/>
  <c r="L14" i="3"/>
  <c r="J12" i="3"/>
  <c r="J11" i="3"/>
  <c r="J10" i="3"/>
  <c r="K10" i="3"/>
  <c r="L10" i="3"/>
  <c r="J9" i="3"/>
  <c r="K9" i="3"/>
  <c r="L9" i="3"/>
  <c r="J8" i="3"/>
  <c r="K8" i="3"/>
  <c r="L8" i="3"/>
  <c r="J7" i="3"/>
  <c r="K7" i="3"/>
  <c r="L7" i="3"/>
  <c r="J6" i="3"/>
  <c r="K6" i="3"/>
  <c r="L6" i="3"/>
  <c r="E11" i="3"/>
  <c r="E12" i="3"/>
  <c r="O117" i="3"/>
  <c r="K148" i="5"/>
  <c r="L148" i="5"/>
  <c r="N217" i="5"/>
  <c r="O217" i="5"/>
  <c r="K342" i="5"/>
  <c r="L342" i="5"/>
  <c r="K314" i="5"/>
  <c r="L314" i="5"/>
  <c r="N316" i="5"/>
  <c r="O316" i="5"/>
  <c r="K338" i="5"/>
  <c r="L338" i="5"/>
  <c r="K147" i="5"/>
  <c r="L147" i="5"/>
  <c r="N147" i="5"/>
  <c r="O147" i="5"/>
  <c r="N211" i="5"/>
  <c r="O211" i="5"/>
  <c r="K202" i="5"/>
  <c r="L202" i="5"/>
  <c r="N146" i="5"/>
  <c r="O146" i="5"/>
  <c r="K146" i="5"/>
  <c r="L146" i="5"/>
  <c r="N344" i="5"/>
  <c r="O344" i="5"/>
  <c r="O332" i="5"/>
  <c r="O102" i="5"/>
  <c r="N132" i="5"/>
  <c r="O132" i="5"/>
  <c r="N145" i="5"/>
  <c r="O145" i="5"/>
  <c r="K145" i="5"/>
  <c r="L145" i="5"/>
  <c r="O104" i="5"/>
  <c r="N162" i="5"/>
  <c r="O162" i="5"/>
  <c r="N176" i="5"/>
  <c r="O176" i="5"/>
  <c r="K162" i="5"/>
  <c r="L162" i="5"/>
  <c r="N161" i="5"/>
  <c r="O161" i="5"/>
  <c r="K161" i="5"/>
  <c r="L161" i="5"/>
  <c r="N154" i="5"/>
  <c r="O154" i="5"/>
  <c r="N174" i="5"/>
  <c r="O174" i="5"/>
  <c r="N151" i="5"/>
  <c r="K176" i="5"/>
  <c r="L176" i="5"/>
  <c r="K118" i="5"/>
  <c r="L118" i="5"/>
  <c r="L227" i="5"/>
  <c r="K142" i="5"/>
  <c r="L142" i="5"/>
  <c r="K134" i="5"/>
  <c r="L134" i="5"/>
  <c r="N170" i="5"/>
  <c r="K174" i="5"/>
  <c r="L174" i="5"/>
  <c r="N134" i="5"/>
  <c r="O134" i="5"/>
  <c r="K128" i="5"/>
  <c r="L128" i="5"/>
  <c r="N130" i="5"/>
  <c r="K112" i="5"/>
  <c r="L112" i="5"/>
  <c r="N172" i="5"/>
  <c r="N142" i="5"/>
  <c r="O142" i="5"/>
  <c r="N110" i="5"/>
  <c r="O110" i="5"/>
  <c r="K109" i="5"/>
  <c r="L109" i="5"/>
  <c r="K120" i="5"/>
  <c r="L120" i="5"/>
  <c r="N158" i="5"/>
  <c r="N322" i="5"/>
  <c r="O322" i="5"/>
  <c r="K324" i="5"/>
  <c r="L324" i="5"/>
  <c r="N324" i="5"/>
  <c r="O324" i="5"/>
  <c r="N326" i="5"/>
  <c r="O326" i="5"/>
  <c r="K332" i="5"/>
  <c r="L332" i="5"/>
  <c r="K334" i="5"/>
  <c r="L334" i="5"/>
  <c r="K354" i="5"/>
  <c r="L354" i="5"/>
  <c r="N320" i="5"/>
  <c r="K322" i="5"/>
  <c r="L322" i="5"/>
  <c r="K326" i="5"/>
  <c r="L326" i="5"/>
  <c r="K328" i="5"/>
  <c r="L328" i="5"/>
  <c r="K330" i="5"/>
  <c r="L330" i="5"/>
  <c r="O330" i="5"/>
  <c r="O334" i="5"/>
  <c r="K110" i="5"/>
  <c r="L110" i="5"/>
  <c r="K98" i="5"/>
  <c r="K103" i="5"/>
  <c r="L103" i="5"/>
  <c r="K158" i="5"/>
  <c r="L158" i="5"/>
  <c r="K102" i="5"/>
  <c r="N112" i="5"/>
  <c r="N116" i="5"/>
  <c r="O116" i="5"/>
  <c r="K166" i="5"/>
  <c r="L166" i="5"/>
  <c r="K168" i="5"/>
  <c r="L168" i="5"/>
  <c r="N312" i="5"/>
  <c r="O312" i="5"/>
  <c r="K318" i="5"/>
  <c r="L318" i="5"/>
  <c r="O318" i="5"/>
  <c r="O338" i="5"/>
  <c r="N340" i="5"/>
  <c r="O340" i="5"/>
  <c r="N346" i="5"/>
  <c r="O346" i="5"/>
  <c r="K348" i="5"/>
  <c r="L348" i="5"/>
  <c r="K350" i="5"/>
  <c r="L350" i="5"/>
  <c r="N352" i="5"/>
  <c r="O352" i="5"/>
  <c r="N213" i="5"/>
  <c r="O213" i="5"/>
  <c r="O342" i="5"/>
  <c r="K344" i="5"/>
  <c r="L344" i="5"/>
  <c r="K346" i="5"/>
  <c r="L346" i="5"/>
  <c r="N348" i="5"/>
  <c r="O348" i="5"/>
  <c r="N350" i="5"/>
  <c r="O350" i="5"/>
  <c r="K352" i="5"/>
  <c r="L352" i="5"/>
  <c r="N354" i="5"/>
  <c r="O354" i="5"/>
  <c r="N99" i="5"/>
  <c r="N101" i="5"/>
  <c r="K117" i="5"/>
  <c r="N138" i="5"/>
  <c r="K160" i="5"/>
  <c r="L160" i="5"/>
  <c r="N166" i="5"/>
  <c r="O166" i="5"/>
  <c r="N168" i="5"/>
  <c r="O168" i="5"/>
  <c r="K153" i="5"/>
  <c r="L153" i="5"/>
  <c r="K152" i="5"/>
  <c r="K135" i="5"/>
  <c r="N136" i="5"/>
  <c r="K156" i="5"/>
  <c r="L156" i="5"/>
  <c r="N160" i="5"/>
  <c r="O160" i="5"/>
  <c r="N164" i="5"/>
  <c r="O164" i="5"/>
  <c r="K266" i="5"/>
  <c r="L266" i="5"/>
  <c r="K288" i="5"/>
  <c r="L288" i="5"/>
  <c r="N288" i="5"/>
  <c r="O288" i="5"/>
  <c r="K294" i="5"/>
  <c r="L294" i="5"/>
  <c r="K300" i="5"/>
  <c r="L300" i="5"/>
  <c r="K274" i="5"/>
  <c r="L274" i="5"/>
  <c r="N290" i="5"/>
  <c r="O290" i="5"/>
  <c r="K292" i="5"/>
  <c r="L292" i="5"/>
  <c r="K296" i="5"/>
  <c r="L296" i="5"/>
  <c r="K298" i="5"/>
  <c r="L298" i="5"/>
  <c r="L99" i="5"/>
  <c r="K100" i="5"/>
  <c r="O100" i="5"/>
  <c r="N103" i="5"/>
  <c r="O103" i="5"/>
  <c r="K119" i="5"/>
  <c r="K123" i="5"/>
  <c r="K125" i="5"/>
  <c r="L125" i="5"/>
  <c r="N126" i="5"/>
  <c r="O126" i="5"/>
  <c r="K127" i="5"/>
  <c r="L127" i="5"/>
  <c r="K136" i="5"/>
  <c r="L136" i="5"/>
  <c r="K143" i="5"/>
  <c r="L143" i="5"/>
  <c r="K191" i="5"/>
  <c r="L191" i="5"/>
  <c r="N254" i="5"/>
  <c r="K277" i="5"/>
  <c r="O284" i="5"/>
  <c r="K286" i="5"/>
  <c r="L286" i="5"/>
  <c r="K290" i="5"/>
  <c r="L290" i="5"/>
  <c r="N294" i="5"/>
  <c r="O294" i="5"/>
  <c r="N296" i="5"/>
  <c r="O296" i="5"/>
  <c r="N153" i="5"/>
  <c r="O153" i="5"/>
  <c r="L97" i="5"/>
  <c r="O98" i="5"/>
  <c r="N105" i="5"/>
  <c r="O105" i="5"/>
  <c r="N107" i="5"/>
  <c r="O107" i="5"/>
  <c r="K108" i="5"/>
  <c r="L108" i="5"/>
  <c r="N118" i="5"/>
  <c r="O118" i="5"/>
  <c r="N120" i="5"/>
  <c r="N122" i="5"/>
  <c r="O122" i="5"/>
  <c r="N124" i="5"/>
  <c r="O124" i="5"/>
  <c r="K126" i="5"/>
  <c r="L126" i="5"/>
  <c r="K133" i="5"/>
  <c r="K139" i="5"/>
  <c r="N182" i="5"/>
  <c r="N185" i="5"/>
  <c r="N224" i="5"/>
  <c r="O224" i="5"/>
  <c r="K246" i="5"/>
  <c r="L246" i="5"/>
  <c r="K268" i="5"/>
  <c r="L268" i="5"/>
  <c r="K276" i="5"/>
  <c r="L276" i="5"/>
  <c r="K284" i="5"/>
  <c r="L284" i="5"/>
  <c r="N286" i="5"/>
  <c r="O286" i="5"/>
  <c r="N292" i="5"/>
  <c r="O292" i="5"/>
  <c r="N298" i="5"/>
  <c r="O298" i="5"/>
  <c r="K106" i="5"/>
  <c r="L106" i="5"/>
  <c r="N109" i="5"/>
  <c r="O109" i="5"/>
  <c r="N114" i="5"/>
  <c r="O114" i="5"/>
  <c r="K129" i="5"/>
  <c r="L129" i="5"/>
  <c r="N140" i="5"/>
  <c r="O140" i="5"/>
  <c r="K144" i="5"/>
  <c r="L144" i="5"/>
  <c r="O185" i="5"/>
  <c r="N191" i="5"/>
  <c r="O191" i="5"/>
  <c r="L200" i="5"/>
  <c r="N200" i="5"/>
  <c r="O200" i="5"/>
  <c r="L204" i="5"/>
  <c r="L206" i="5"/>
  <c r="L218" i="5"/>
  <c r="N219" i="5"/>
  <c r="O219" i="5"/>
  <c r="L241" i="5"/>
  <c r="L249" i="5"/>
  <c r="N256" i="5"/>
  <c r="O256" i="5"/>
  <c r="K258" i="5"/>
  <c r="L258" i="5"/>
  <c r="K262" i="5"/>
  <c r="L262" i="5"/>
  <c r="K270" i="5"/>
  <c r="L270" i="5"/>
  <c r="K280" i="5"/>
  <c r="L280" i="5"/>
  <c r="N189" i="5"/>
  <c r="O189" i="5"/>
  <c r="K198" i="5"/>
  <c r="L198" i="5"/>
  <c r="N282" i="5"/>
  <c r="O282" i="5"/>
  <c r="L261" i="5"/>
  <c r="N263" i="5"/>
  <c r="O263" i="5"/>
  <c r="K267" i="5"/>
  <c r="L267" i="5"/>
  <c r="K272" i="5"/>
  <c r="L272" i="5"/>
  <c r="N265" i="5"/>
  <c r="O265" i="5"/>
  <c r="K269" i="5"/>
  <c r="L269" i="5"/>
  <c r="N274" i="5"/>
  <c r="O274" i="5"/>
  <c r="L257" i="5"/>
  <c r="N266" i="5"/>
  <c r="O266" i="5"/>
  <c r="N272" i="5"/>
  <c r="O272" i="5"/>
  <c r="K273" i="5"/>
  <c r="L273" i="5"/>
  <c r="L172" i="5"/>
  <c r="N97" i="5"/>
  <c r="O97" i="5"/>
  <c r="K101" i="5"/>
  <c r="L101" i="5"/>
  <c r="K104" i="5"/>
  <c r="L104" i="5"/>
  <c r="K111" i="5"/>
  <c r="L111" i="5"/>
  <c r="K113" i="5"/>
  <c r="L113" i="5"/>
  <c r="K115" i="5"/>
  <c r="L115" i="5"/>
  <c r="K121" i="5"/>
  <c r="L121" i="5"/>
  <c r="N128" i="5"/>
  <c r="O128" i="5"/>
  <c r="K131" i="5"/>
  <c r="L131" i="5"/>
  <c r="K137" i="5"/>
  <c r="L137" i="5"/>
  <c r="K141" i="5"/>
  <c r="L141" i="5"/>
  <c r="N143" i="5"/>
  <c r="O143" i="5"/>
  <c r="K155" i="5"/>
  <c r="L155" i="5"/>
  <c r="L208" i="5"/>
  <c r="L212" i="5"/>
  <c r="L216" i="5"/>
  <c r="L243" i="5"/>
  <c r="L245" i="5"/>
  <c r="N248" i="5"/>
  <c r="O248" i="5"/>
  <c r="N259" i="5"/>
  <c r="O259" i="5"/>
  <c r="N260" i="5"/>
  <c r="O260" i="5"/>
  <c r="N261" i="5"/>
  <c r="O261" i="5"/>
  <c r="N262" i="5"/>
  <c r="O262" i="5"/>
  <c r="L265" i="5"/>
  <c r="N270" i="5"/>
  <c r="O270" i="5"/>
  <c r="K271" i="5"/>
  <c r="L271" i="5"/>
  <c r="K275" i="5"/>
  <c r="L275" i="5"/>
  <c r="K278" i="5"/>
  <c r="L278" i="5"/>
  <c r="N278" i="5"/>
  <c r="O278" i="5"/>
  <c r="K282" i="5"/>
  <c r="L282" i="5"/>
  <c r="K150" i="5"/>
  <c r="L150" i="5"/>
  <c r="N156" i="5"/>
  <c r="O156" i="5"/>
  <c r="K157" i="5"/>
  <c r="L157" i="5"/>
  <c r="L201" i="5"/>
  <c r="L210" i="5"/>
  <c r="L214" i="5"/>
  <c r="L221" i="5"/>
  <c r="L239" i="5"/>
  <c r="N240" i="5"/>
  <c r="O240" i="5"/>
  <c r="N242" i="5"/>
  <c r="O242" i="5"/>
  <c r="N244" i="5"/>
  <c r="O244" i="5"/>
  <c r="K250" i="5"/>
  <c r="L250" i="5"/>
  <c r="N250" i="5"/>
  <c r="O250" i="5"/>
  <c r="N251" i="5"/>
  <c r="O251" i="5"/>
  <c r="N252" i="5"/>
  <c r="O252" i="5"/>
  <c r="L253" i="5"/>
  <c r="K254" i="5"/>
  <c r="L254" i="5"/>
  <c r="N258" i="5"/>
  <c r="O258" i="5"/>
  <c r="L263" i="5"/>
  <c r="K264" i="5"/>
  <c r="L264" i="5"/>
  <c r="N264" i="5"/>
  <c r="O264" i="5"/>
  <c r="N268" i="5"/>
  <c r="O268" i="5"/>
  <c r="O276" i="5"/>
  <c r="N280" i="5"/>
  <c r="O280" i="5"/>
  <c r="K12" i="5"/>
  <c r="L12" i="5"/>
  <c r="L231" i="5"/>
  <c r="G232" i="5"/>
  <c r="G233" i="5"/>
  <c r="G234" i="5"/>
  <c r="G235" i="5"/>
  <c r="L230" i="5"/>
  <c r="O229" i="5"/>
  <c r="L229" i="5"/>
  <c r="O231" i="5"/>
  <c r="L228" i="5"/>
  <c r="O228" i="5"/>
  <c r="O227" i="5"/>
  <c r="O230" i="5"/>
  <c r="L108" i="3"/>
  <c r="L15" i="3"/>
  <c r="O98" i="3"/>
  <c r="O15" i="3"/>
  <c r="O68" i="3"/>
  <c r="L59" i="3"/>
  <c r="O108" i="3"/>
  <c r="O59" i="3"/>
  <c r="O66" i="3"/>
  <c r="L68" i="3"/>
  <c r="O62" i="3"/>
  <c r="L48" i="3"/>
  <c r="L72" i="3"/>
  <c r="O71" i="3"/>
  <c r="L30" i="3"/>
  <c r="O60" i="3"/>
  <c r="L98" i="3"/>
  <c r="L54" i="3"/>
  <c r="L49" i="3"/>
  <c r="O70" i="3"/>
  <c r="L66" i="3"/>
  <c r="O52" i="3"/>
  <c r="L50" i="3"/>
  <c r="L64" i="3"/>
  <c r="L55" i="3"/>
  <c r="L51" i="3"/>
  <c r="O63" i="3"/>
  <c r="L61" i="3"/>
  <c r="L109" i="3"/>
  <c r="L99" i="3"/>
  <c r="L56" i="3"/>
  <c r="O54" i="3"/>
  <c r="L53" i="3"/>
  <c r="L52" i="3"/>
  <c r="O49" i="3"/>
  <c r="O48" i="3"/>
  <c r="L71" i="3"/>
  <c r="O69" i="3"/>
  <c r="L62" i="3"/>
  <c r="O102" i="3"/>
  <c r="O100" i="3"/>
  <c r="O53" i="3"/>
  <c r="L70" i="3"/>
  <c r="O64" i="3"/>
  <c r="L60" i="3"/>
  <c r="O30" i="3"/>
  <c r="O28" i="3"/>
  <c r="O26" i="3"/>
  <c r="O24" i="3"/>
  <c r="O22" i="3"/>
  <c r="O20" i="3"/>
  <c r="O18" i="3"/>
  <c r="O50" i="3"/>
  <c r="O65" i="3"/>
  <c r="L63" i="3"/>
  <c r="O61" i="3"/>
  <c r="L100" i="3"/>
  <c r="O56" i="3"/>
  <c r="O55" i="3"/>
  <c r="O51" i="3"/>
  <c r="O72" i="3"/>
  <c r="L69" i="3"/>
  <c r="L65" i="3"/>
  <c r="O109" i="3"/>
  <c r="O99" i="3"/>
  <c r="L121" i="3"/>
  <c r="O113" i="3"/>
  <c r="O120" i="3"/>
  <c r="L117" i="3"/>
  <c r="L115" i="3"/>
  <c r="L113" i="3"/>
  <c r="L111" i="3"/>
  <c r="L120" i="3"/>
  <c r="O118" i="3"/>
  <c r="O116" i="3"/>
  <c r="O114" i="3"/>
  <c r="O112" i="3"/>
  <c r="O110" i="3"/>
  <c r="L119" i="3"/>
  <c r="O115" i="3"/>
  <c r="O111" i="3"/>
  <c r="O121" i="3"/>
  <c r="O119" i="3"/>
  <c r="L118" i="3"/>
  <c r="L116" i="3"/>
  <c r="L114" i="3"/>
  <c r="L112" i="3"/>
  <c r="L110" i="3"/>
  <c r="O106" i="3"/>
  <c r="O104" i="3"/>
  <c r="L106" i="3"/>
  <c r="L104" i="3"/>
  <c r="L102" i="3"/>
  <c r="O105" i="3"/>
  <c r="O103" i="3"/>
  <c r="O101" i="3"/>
  <c r="L105" i="3"/>
  <c r="L103" i="3"/>
  <c r="L101" i="3"/>
  <c r="O27" i="3"/>
  <c r="O25" i="3"/>
  <c r="O23" i="3"/>
  <c r="O21" i="3"/>
  <c r="O19" i="3"/>
  <c r="L27" i="3"/>
  <c r="L25" i="3"/>
  <c r="L23" i="3"/>
  <c r="L21" i="3"/>
  <c r="K11" i="3"/>
  <c r="L11" i="3"/>
  <c r="O34" i="3"/>
  <c r="O32" i="3"/>
  <c r="K12" i="3"/>
  <c r="L12" i="3"/>
  <c r="L34" i="3"/>
  <c r="L32" i="3"/>
  <c r="O33" i="3"/>
  <c r="O17" i="3"/>
  <c r="O31" i="3"/>
  <c r="L33" i="3"/>
  <c r="L31" i="3"/>
  <c r="L19" i="3"/>
  <c r="L17" i="3"/>
  <c r="O16" i="3"/>
  <c r="L28" i="3"/>
  <c r="L26" i="3"/>
  <c r="L24" i="3"/>
  <c r="L22" i="3"/>
  <c r="L20" i="3"/>
  <c r="L18" i="3"/>
  <c r="L16" i="3"/>
  <c r="O158" i="5"/>
  <c r="O182" i="5"/>
  <c r="L100" i="5"/>
  <c r="L119" i="5"/>
  <c r="L123" i="5"/>
  <c r="O172" i="5"/>
  <c r="O130" i="5"/>
  <c r="O170" i="5"/>
  <c r="O320" i="5"/>
  <c r="L98" i="5"/>
  <c r="O151" i="5"/>
  <c r="O120" i="5"/>
  <c r="L139" i="5"/>
  <c r="L102" i="5"/>
  <c r="L133" i="5"/>
  <c r="L135" i="5"/>
  <c r="O138" i="5"/>
  <c r="L277" i="5"/>
  <c r="O99" i="5"/>
  <c r="O101" i="5"/>
  <c r="O112" i="5"/>
  <c r="L152" i="5"/>
  <c r="O136" i="5"/>
  <c r="L117" i="5"/>
  <c r="O254" i="5"/>
  <c r="L235" i="5"/>
  <c r="L234" i="5"/>
  <c r="O232" i="5"/>
  <c r="L232" i="5"/>
  <c r="L233" i="5"/>
  <c r="G237" i="5"/>
  <c r="L237" i="5"/>
</calcChain>
</file>

<file path=xl/sharedStrings.xml><?xml version="1.0" encoding="utf-8"?>
<sst xmlns="http://schemas.openxmlformats.org/spreadsheetml/2006/main" count="3981" uniqueCount="965">
  <si>
    <t>Office Equipments</t>
  </si>
  <si>
    <t>W3</t>
  </si>
  <si>
    <t>Vehicle</t>
  </si>
  <si>
    <t>W2</t>
  </si>
  <si>
    <t>Computer and peripherals</t>
  </si>
  <si>
    <t>W1</t>
  </si>
  <si>
    <t>Fixed asset</t>
  </si>
  <si>
    <t>W</t>
  </si>
  <si>
    <t>R</t>
  </si>
  <si>
    <t>V1</t>
  </si>
  <si>
    <t>Sundry creditors</t>
  </si>
  <si>
    <t>Creditors</t>
  </si>
  <si>
    <t>V</t>
  </si>
  <si>
    <t>Rent deposit-2</t>
  </si>
  <si>
    <t>U2-2</t>
  </si>
  <si>
    <t>Rent deposit-1</t>
  </si>
  <si>
    <t>U2-1</t>
  </si>
  <si>
    <t>Rent Deposit</t>
  </si>
  <si>
    <t>U2</t>
  </si>
  <si>
    <t>Landowner-2</t>
  </si>
  <si>
    <t>U1-2</t>
  </si>
  <si>
    <t>Landowner-1</t>
  </si>
  <si>
    <t>U1-1</t>
  </si>
  <si>
    <t>Refundable Deposit- Landowner</t>
  </si>
  <si>
    <t>U1</t>
  </si>
  <si>
    <t>Deposit</t>
  </si>
  <si>
    <t>U</t>
  </si>
  <si>
    <t>Kotak COLLECTION AC--0550151702</t>
  </si>
  <si>
    <t>T2-6</t>
  </si>
  <si>
    <t>Kotak RERA AC---0550151719</t>
  </si>
  <si>
    <t>T2-5</t>
  </si>
  <si>
    <t>Kotak Main Operation Ac--0550151689</t>
  </si>
  <si>
    <t>T2-4</t>
  </si>
  <si>
    <t>Kotak Mahindra Bank A/c- 0549232672</t>
  </si>
  <si>
    <t>T2-3</t>
  </si>
  <si>
    <t>ICICI BANK A/C- 026305008761</t>
  </si>
  <si>
    <t>T2-2</t>
  </si>
  <si>
    <t>Autosweep FD</t>
  </si>
  <si>
    <t>T2-1</t>
  </si>
  <si>
    <t xml:space="preserve">Bank </t>
  </si>
  <si>
    <t>T2</t>
  </si>
  <si>
    <t>CASH</t>
  </si>
  <si>
    <t>T1-1</t>
  </si>
  <si>
    <t>Cash</t>
  </si>
  <si>
    <t>T1</t>
  </si>
  <si>
    <t>Cash and Cash Equivalent</t>
  </si>
  <si>
    <t>T</t>
  </si>
  <si>
    <t>Professional Tax Payable</t>
  </si>
  <si>
    <t>S4-1</t>
  </si>
  <si>
    <t>Professional Tax</t>
  </si>
  <si>
    <t>S4</t>
  </si>
  <si>
    <t>Customer GST -3</t>
  </si>
  <si>
    <t>S3-1</t>
  </si>
  <si>
    <t>Customer GST -2</t>
  </si>
  <si>
    <t>Customer GST -1</t>
  </si>
  <si>
    <t>Customer GST</t>
  </si>
  <si>
    <t>S3</t>
  </si>
  <si>
    <t>TDS Receivable- Customer</t>
  </si>
  <si>
    <t>S2-2</t>
  </si>
  <si>
    <t>Advance tax paid</t>
  </si>
  <si>
    <t>S2-1</t>
  </si>
  <si>
    <t>Income Tax</t>
  </si>
  <si>
    <t>S2</t>
  </si>
  <si>
    <t>CGST @ 9%</t>
  </si>
  <si>
    <t>S1-13</t>
  </si>
  <si>
    <t>CGST Input -6%</t>
  </si>
  <si>
    <t>S1-12</t>
  </si>
  <si>
    <t>IGST Input-12%</t>
  </si>
  <si>
    <t>S1-11</t>
  </si>
  <si>
    <t>IGST Input 18%</t>
  </si>
  <si>
    <t>S1-10</t>
  </si>
  <si>
    <t>IGST Input- 28%</t>
  </si>
  <si>
    <t>S1-9</t>
  </si>
  <si>
    <t>IGST Input 5%</t>
  </si>
  <si>
    <t>S1-8</t>
  </si>
  <si>
    <t>IGST RCM Input 5%</t>
  </si>
  <si>
    <t>S1-7</t>
  </si>
  <si>
    <t>SGST Inpit 6%</t>
  </si>
  <si>
    <t>S1-6</t>
  </si>
  <si>
    <t>SGST @ 9%</t>
  </si>
  <si>
    <t>S1-5</t>
  </si>
  <si>
    <t>SGST @14%</t>
  </si>
  <si>
    <t>S1-4</t>
  </si>
  <si>
    <t>SGST 2.5%</t>
  </si>
  <si>
    <t>S1-3</t>
  </si>
  <si>
    <t>CGST @14%</t>
  </si>
  <si>
    <t>S1-2</t>
  </si>
  <si>
    <t>CGST 2.5%</t>
  </si>
  <si>
    <t>S1-1</t>
  </si>
  <si>
    <t>GST</t>
  </si>
  <si>
    <t>S1</t>
  </si>
  <si>
    <t>Government Duties &amp; Taxes Paid</t>
  </si>
  <si>
    <t>S</t>
  </si>
  <si>
    <t>R2-3</t>
  </si>
  <si>
    <t>R2-2</t>
  </si>
  <si>
    <t>R2-1</t>
  </si>
  <si>
    <t>Salary Retention</t>
  </si>
  <si>
    <t>R2</t>
  </si>
  <si>
    <t>R1-3</t>
  </si>
  <si>
    <t>R1-2</t>
  </si>
  <si>
    <t>R1-1</t>
  </si>
  <si>
    <t>Creditor- Retention</t>
  </si>
  <si>
    <t>R1</t>
  </si>
  <si>
    <t>Retention</t>
  </si>
  <si>
    <t>Short term Advance paid to Employees</t>
  </si>
  <si>
    <t>Employees Advance</t>
  </si>
  <si>
    <t>C2-4</t>
  </si>
  <si>
    <t>Q2</t>
  </si>
  <si>
    <t>Short term Advance paid to Director</t>
  </si>
  <si>
    <t>Director Advance receivable</t>
  </si>
  <si>
    <t>C2-3</t>
  </si>
  <si>
    <t>Short term Advance paid to Related Party</t>
  </si>
  <si>
    <t>Related Party Advance Receivable</t>
  </si>
  <si>
    <t>C2-2</t>
  </si>
  <si>
    <t>Short term Advance paid to Third Party</t>
  </si>
  <si>
    <t>Third Party Advance Receivable</t>
  </si>
  <si>
    <t>Q2-1</t>
  </si>
  <si>
    <t>Loans &amp; Advances Given</t>
  </si>
  <si>
    <t>Loans and Advance</t>
  </si>
  <si>
    <t>Q</t>
  </si>
  <si>
    <t>MSEDCL</t>
  </si>
  <si>
    <t>P2-15</t>
  </si>
  <si>
    <t>NOC Charges (FOR ELEVATION)</t>
  </si>
  <si>
    <t>P2-14</t>
  </si>
  <si>
    <t>Blast permission</t>
  </si>
  <si>
    <t>P2-13</t>
  </si>
  <si>
    <t>Royalty for excavation</t>
  </si>
  <si>
    <t>P2-12</t>
  </si>
  <si>
    <t>Parivesh Fees</t>
  </si>
  <si>
    <t>P2-11</t>
  </si>
  <si>
    <t>Height/elevation NOC</t>
  </si>
  <si>
    <t>P2-10</t>
  </si>
  <si>
    <t>Water NOC</t>
  </si>
  <si>
    <t>P2-9</t>
  </si>
  <si>
    <t>Drainage NOC</t>
  </si>
  <si>
    <t>P2-8</t>
  </si>
  <si>
    <t>Garden NOC</t>
  </si>
  <si>
    <t>P2-7</t>
  </si>
  <si>
    <t>Fire NOC</t>
  </si>
  <si>
    <t>P2-6</t>
  </si>
  <si>
    <t>Swacch NOC/agreement</t>
  </si>
  <si>
    <t>P2-5</t>
  </si>
  <si>
    <t xml:space="preserve">EC Clerance </t>
  </si>
  <si>
    <t>P2-4</t>
  </si>
  <si>
    <t>MIDC plan sanction</t>
  </si>
  <si>
    <t>P2-3</t>
  </si>
  <si>
    <t>MIDC IOD</t>
  </si>
  <si>
    <t>P2-2</t>
  </si>
  <si>
    <t>MIDC NAME TRANSFER CHALLAN</t>
  </si>
  <si>
    <t>P2-1</t>
  </si>
  <si>
    <t>NOC</t>
  </si>
  <si>
    <t>P2</t>
  </si>
  <si>
    <t>Survayer</t>
  </si>
  <si>
    <t>P1-10</t>
  </si>
  <si>
    <t>Legal Consultant</t>
  </si>
  <si>
    <t>P1-9</t>
  </si>
  <si>
    <t>Structural Consultant</t>
  </si>
  <si>
    <t>P1-8</t>
  </si>
  <si>
    <t>Landscape Consultant</t>
  </si>
  <si>
    <t>P1-7</t>
  </si>
  <si>
    <t>Land Broker</t>
  </si>
  <si>
    <t>P1-6</t>
  </si>
  <si>
    <t>EC Consultant</t>
  </si>
  <si>
    <t>P1-5</t>
  </si>
  <si>
    <t>RCC Consultant</t>
  </si>
  <si>
    <t>P1-4</t>
  </si>
  <si>
    <t>MIDC Consustant</t>
  </si>
  <si>
    <t>P1-3</t>
  </si>
  <si>
    <t>MEP Consultant</t>
  </si>
  <si>
    <t>P1-2</t>
  </si>
  <si>
    <t>Architect</t>
  </si>
  <si>
    <t>P1-1</t>
  </si>
  <si>
    <t>Consultants</t>
  </si>
  <si>
    <t>P1</t>
  </si>
  <si>
    <t>Regulatory &amp; Consulting</t>
  </si>
  <si>
    <t>P</t>
  </si>
  <si>
    <t>POP work</t>
  </si>
  <si>
    <t>POP</t>
  </si>
  <si>
    <t>O15-2</t>
  </si>
  <si>
    <t>O15</t>
  </si>
  <si>
    <t>Aminities furniture, equipments</t>
  </si>
  <si>
    <t>Furniture/Equipments</t>
  </si>
  <si>
    <t>O15-1</t>
  </si>
  <si>
    <t>Painter labour</t>
  </si>
  <si>
    <t>Painting Labour</t>
  </si>
  <si>
    <t>O14-3</t>
  </si>
  <si>
    <t>O14</t>
  </si>
  <si>
    <t>Paint material</t>
  </si>
  <si>
    <t>Paint</t>
  </si>
  <si>
    <t>O14-2</t>
  </si>
  <si>
    <t>Primer coat</t>
  </si>
  <si>
    <t>Primer</t>
  </si>
  <si>
    <t>O14-1</t>
  </si>
  <si>
    <t>Painting</t>
  </si>
  <si>
    <t>Waterproofing application</t>
  </si>
  <si>
    <t>Waterproofing Labour</t>
  </si>
  <si>
    <t>O7-2</t>
  </si>
  <si>
    <t>O7</t>
  </si>
  <si>
    <t>Chemical materials</t>
  </si>
  <si>
    <t>Chemical Waterproofing</t>
  </si>
  <si>
    <t>O7-1</t>
  </si>
  <si>
    <t>Waterproofing</t>
  </si>
  <si>
    <t>Plumbing work labour</t>
  </si>
  <si>
    <t>Plumbing Labour</t>
  </si>
  <si>
    <t>O11-3</t>
  </si>
  <si>
    <t>O11</t>
  </si>
  <si>
    <t>Bathroom fittings</t>
  </si>
  <si>
    <t>Fittings</t>
  </si>
  <si>
    <t>O11-2</t>
  </si>
  <si>
    <t>Water pipes</t>
  </si>
  <si>
    <t>Pipes</t>
  </si>
  <si>
    <t>O11-1</t>
  </si>
  <si>
    <t>Plumbing</t>
  </si>
  <si>
    <t>Other Electric &amp; Hardware Material</t>
  </si>
  <si>
    <t>O10-6</t>
  </si>
  <si>
    <t>O10</t>
  </si>
  <si>
    <t>Electrical installation</t>
  </si>
  <si>
    <t>Lights</t>
  </si>
  <si>
    <t>O10-5</t>
  </si>
  <si>
    <t>Electrical Labour</t>
  </si>
  <si>
    <t>O10-4</t>
  </si>
  <si>
    <t>Distribution boards</t>
  </si>
  <si>
    <t>DB Panels</t>
  </si>
  <si>
    <t>O10-3</t>
  </si>
  <si>
    <t>Switch boards</t>
  </si>
  <si>
    <t>Switches</t>
  </si>
  <si>
    <t>O10-2</t>
  </si>
  <si>
    <t>Electrical wiring</t>
  </si>
  <si>
    <t>Wires</t>
  </si>
  <si>
    <t>O10-1</t>
  </si>
  <si>
    <t>Electrical</t>
  </si>
  <si>
    <t>Window glass</t>
  </si>
  <si>
    <t>Carpenter Work---Labour</t>
  </si>
  <si>
    <t>O9-5</t>
  </si>
  <si>
    <t>O9</t>
  </si>
  <si>
    <t>Glass</t>
  </si>
  <si>
    <t>O9-4</t>
  </si>
  <si>
    <t>Aluminum windows</t>
  </si>
  <si>
    <t>Window Frames</t>
  </si>
  <si>
    <t>O9-3</t>
  </si>
  <si>
    <t>Door panels</t>
  </si>
  <si>
    <t>Door Shutters</t>
  </si>
  <si>
    <t>O9-2</t>
  </si>
  <si>
    <t>Door frames</t>
  </si>
  <si>
    <t>Door Frames</t>
  </si>
  <si>
    <t>O9-1</t>
  </si>
  <si>
    <t>Doors &amp; Windows</t>
  </si>
  <si>
    <t>Single Disc Scrubber</t>
  </si>
  <si>
    <t>O8-4</t>
  </si>
  <si>
    <t>O8</t>
  </si>
  <si>
    <t>Tile laying labour</t>
  </si>
  <si>
    <t>Flooring Labour</t>
  </si>
  <si>
    <t>O8-3</t>
  </si>
  <si>
    <t>Natural stone flooring</t>
  </si>
  <si>
    <t>Marble/Granite</t>
  </si>
  <si>
    <t>O8-2</t>
  </si>
  <si>
    <t>Tile purchase</t>
  </si>
  <si>
    <t>Tiles</t>
  </si>
  <si>
    <t>O8-1</t>
  </si>
  <si>
    <t>Flooring</t>
  </si>
  <si>
    <t>External plaster labour</t>
  </si>
  <si>
    <t>External Plaster Labour</t>
  </si>
  <si>
    <t>O6-2</t>
  </si>
  <si>
    <t>O6</t>
  </si>
  <si>
    <t>External plaster mix</t>
  </si>
  <si>
    <t>External Plaster Material</t>
  </si>
  <si>
    <t>O6-1</t>
  </si>
  <si>
    <t>External Plaster</t>
  </si>
  <si>
    <t>Internal plaster labour</t>
  </si>
  <si>
    <t>Plaster Labour</t>
  </si>
  <si>
    <t>O5-2</t>
  </si>
  <si>
    <t>O5</t>
  </si>
  <si>
    <t>Sand cement plaster</t>
  </si>
  <si>
    <t>Plaster Material</t>
  </si>
  <si>
    <t>O5-1</t>
  </si>
  <si>
    <t>Internal Plaster</t>
  </si>
  <si>
    <t>Masonry labour</t>
  </si>
  <si>
    <t>Brickwork Labour</t>
  </si>
  <si>
    <t>O4-3</t>
  </si>
  <si>
    <t>O4</t>
  </si>
  <si>
    <t>Cement mortar</t>
  </si>
  <si>
    <t>Mortar</t>
  </si>
  <si>
    <t>O4-2</t>
  </si>
  <si>
    <t>Brick or AAC blocks</t>
  </si>
  <si>
    <t>Bricks/Blocks</t>
  </si>
  <si>
    <t>O4-1</t>
  </si>
  <si>
    <t>Brickwork</t>
  </si>
  <si>
    <t>Pump rental</t>
  </si>
  <si>
    <t>Concrete Pump</t>
  </si>
  <si>
    <t>O3-7</t>
  </si>
  <si>
    <t>O3</t>
  </si>
  <si>
    <t>Formwork/shuttering</t>
  </si>
  <si>
    <t>Shuttering</t>
  </si>
  <si>
    <t>O3-6</t>
  </si>
  <si>
    <t>Labour for RCC casting</t>
  </si>
  <si>
    <t>RCC Labour</t>
  </si>
  <si>
    <t>O3-5</t>
  </si>
  <si>
    <t>Metal aggregates</t>
  </si>
  <si>
    <t>Aggregate</t>
  </si>
  <si>
    <t>O3-4</t>
  </si>
  <si>
    <t>Sand for RCC</t>
  </si>
  <si>
    <t>Sand</t>
  </si>
  <si>
    <t>O3-3</t>
  </si>
  <si>
    <t>Cement used in RCC</t>
  </si>
  <si>
    <t>Cement</t>
  </si>
  <si>
    <t>O3-2</t>
  </si>
  <si>
    <t>Reinforcement steel</t>
  </si>
  <si>
    <t>Steel</t>
  </si>
  <si>
    <t>O3-1</t>
  </si>
  <si>
    <t>RCC Structure</t>
  </si>
  <si>
    <t>Sales Office</t>
  </si>
  <si>
    <t>O</t>
  </si>
  <si>
    <t>Labour chg paid</t>
  </si>
  <si>
    <t>Labour chg</t>
  </si>
  <si>
    <t>N15-4</t>
  </si>
  <si>
    <t>Fabric Naturalia</t>
  </si>
  <si>
    <t>N15-3</t>
  </si>
  <si>
    <t>N15</t>
  </si>
  <si>
    <t>PoP work</t>
  </si>
  <si>
    <t>N15-2</t>
  </si>
  <si>
    <t>N15-1</t>
  </si>
  <si>
    <t>N14-3</t>
  </si>
  <si>
    <t>N14</t>
  </si>
  <si>
    <t>N14-2</t>
  </si>
  <si>
    <t>N14-1</t>
  </si>
  <si>
    <t>N7-2</t>
  </si>
  <si>
    <t>N7</t>
  </si>
  <si>
    <t>N7-1</t>
  </si>
  <si>
    <t>N11-3</t>
  </si>
  <si>
    <t>N11</t>
  </si>
  <si>
    <t>N11-2</t>
  </si>
  <si>
    <t>N11-1</t>
  </si>
  <si>
    <t>N10-6</t>
  </si>
  <si>
    <t>N10</t>
  </si>
  <si>
    <t>N10-5</t>
  </si>
  <si>
    <t>N10-4</t>
  </si>
  <si>
    <t>N10-3</t>
  </si>
  <si>
    <t>N10-2</t>
  </si>
  <si>
    <t>N10-1</t>
  </si>
  <si>
    <t>Alluminium and fabrication material</t>
  </si>
  <si>
    <t xml:space="preserve">Alluminium and fabrication </t>
  </si>
  <si>
    <t>N9-5</t>
  </si>
  <si>
    <t>N9</t>
  </si>
  <si>
    <t>N9-4</t>
  </si>
  <si>
    <t>N9-3</t>
  </si>
  <si>
    <t>N9-2</t>
  </si>
  <si>
    <t>N9-1</t>
  </si>
  <si>
    <t>N8-3</t>
  </si>
  <si>
    <t>N8</t>
  </si>
  <si>
    <t>N8-2</t>
  </si>
  <si>
    <t>N8-1</t>
  </si>
  <si>
    <t>N6-2</t>
  </si>
  <si>
    <t>N6</t>
  </si>
  <si>
    <t>N6-1</t>
  </si>
  <si>
    <t>N5-2</t>
  </si>
  <si>
    <t>N5</t>
  </si>
  <si>
    <t>N5-1</t>
  </si>
  <si>
    <t>N4-3</t>
  </si>
  <si>
    <t>N4</t>
  </si>
  <si>
    <t>N4-2</t>
  </si>
  <si>
    <t>N4-1</t>
  </si>
  <si>
    <t>N3-7</t>
  </si>
  <si>
    <t>N3</t>
  </si>
  <si>
    <t>N3-6</t>
  </si>
  <si>
    <t>N3-5</t>
  </si>
  <si>
    <t>N3-4</t>
  </si>
  <si>
    <t>N3-3</t>
  </si>
  <si>
    <t>N3-2</t>
  </si>
  <si>
    <t>N3-1</t>
  </si>
  <si>
    <t>Show Flat</t>
  </si>
  <si>
    <t>N</t>
  </si>
  <si>
    <t>Fabrication Work</t>
  </si>
  <si>
    <t>M18-2</t>
  </si>
  <si>
    <t>M18</t>
  </si>
  <si>
    <t>Fabrication Material</t>
  </si>
  <si>
    <t>M18-1</t>
  </si>
  <si>
    <t>Fabrication</t>
  </si>
  <si>
    <t>Garden Grass/ Plantation purchase</t>
  </si>
  <si>
    <t>M17-2</t>
  </si>
  <si>
    <t>M17</t>
  </si>
  <si>
    <t>Garden Labour Work</t>
  </si>
  <si>
    <t>M17-1</t>
  </si>
  <si>
    <t xml:space="preserve">Garden </t>
  </si>
  <si>
    <t>M16-1</t>
  </si>
  <si>
    <t>M16</t>
  </si>
  <si>
    <t>Flag Pole</t>
  </si>
  <si>
    <t>M15-2</t>
  </si>
  <si>
    <t>M15</t>
  </si>
  <si>
    <t>M15-1</t>
  </si>
  <si>
    <t>Landscaping/ Painting Work</t>
  </si>
  <si>
    <t>M14-4</t>
  </si>
  <si>
    <t>M14</t>
  </si>
  <si>
    <t>M14-3</t>
  </si>
  <si>
    <t>M14-2</t>
  </si>
  <si>
    <t>M14-1</t>
  </si>
  <si>
    <t>M7-2</t>
  </si>
  <si>
    <t>M7</t>
  </si>
  <si>
    <t>M7-1</t>
  </si>
  <si>
    <t>Other Plumbing material</t>
  </si>
  <si>
    <t>M11-4</t>
  </si>
  <si>
    <t>M11</t>
  </si>
  <si>
    <t>M11-3</t>
  </si>
  <si>
    <t>M11-2</t>
  </si>
  <si>
    <t>M11-1</t>
  </si>
  <si>
    <t>Electrical Transformer</t>
  </si>
  <si>
    <t>M10-7</t>
  </si>
  <si>
    <t>M10</t>
  </si>
  <si>
    <t>Other electrical material</t>
  </si>
  <si>
    <t>M10-6</t>
  </si>
  <si>
    <t>M10-5</t>
  </si>
  <si>
    <t>M10-4</t>
  </si>
  <si>
    <t>M10-3</t>
  </si>
  <si>
    <t>M10-2</t>
  </si>
  <si>
    <t>M10-1</t>
  </si>
  <si>
    <t>M9-4</t>
  </si>
  <si>
    <t>M9</t>
  </si>
  <si>
    <t>M9-3</t>
  </si>
  <si>
    <t>M9-2</t>
  </si>
  <si>
    <t>M9-1</t>
  </si>
  <si>
    <t>M8-3</t>
  </si>
  <si>
    <t>M8</t>
  </si>
  <si>
    <t>M8-2</t>
  </si>
  <si>
    <t>M8-1</t>
  </si>
  <si>
    <t>M6-2</t>
  </si>
  <si>
    <t>M6</t>
  </si>
  <si>
    <t>M6-1</t>
  </si>
  <si>
    <t>M5-2</t>
  </si>
  <si>
    <t>M5</t>
  </si>
  <si>
    <t>M5-1</t>
  </si>
  <si>
    <t>M4-3</t>
  </si>
  <si>
    <t>M4</t>
  </si>
  <si>
    <t>M4-2</t>
  </si>
  <si>
    <t>M4-1</t>
  </si>
  <si>
    <t>Rubble Stone</t>
  </si>
  <si>
    <t>M3-9</t>
  </si>
  <si>
    <t>M3</t>
  </si>
  <si>
    <t>corrugated sheet</t>
  </si>
  <si>
    <t>M3-8</t>
  </si>
  <si>
    <t>M3-7</t>
  </si>
  <si>
    <t>M3-6</t>
  </si>
  <si>
    <t>M3-5</t>
  </si>
  <si>
    <t>M3-4</t>
  </si>
  <si>
    <t>M3-3</t>
  </si>
  <si>
    <t>M3-2</t>
  </si>
  <si>
    <t>M3-1</t>
  </si>
  <si>
    <t>Common Aminities</t>
  </si>
  <si>
    <t>M</t>
  </si>
  <si>
    <t>Panelty on IT</t>
  </si>
  <si>
    <t>L2-3</t>
  </si>
  <si>
    <t>L2</t>
  </si>
  <si>
    <t>Panelty on TDS</t>
  </si>
  <si>
    <t>TDS</t>
  </si>
  <si>
    <t>L2-2</t>
  </si>
  <si>
    <t>Panelty on GST</t>
  </si>
  <si>
    <t>L2-1</t>
  </si>
  <si>
    <t>Panelty</t>
  </si>
  <si>
    <t>Other unsecured loan</t>
  </si>
  <si>
    <t>L1-4</t>
  </si>
  <si>
    <t>L1</t>
  </si>
  <si>
    <t>Partner Interest</t>
  </si>
  <si>
    <t>Partner Return</t>
  </si>
  <si>
    <t>L1-3</t>
  </si>
  <si>
    <t>Investor interest</t>
  </si>
  <si>
    <t>Investor Return</t>
  </si>
  <si>
    <t>L1-2</t>
  </si>
  <si>
    <t>Interest to bank</t>
  </si>
  <si>
    <t>Bank Loan Interest</t>
  </si>
  <si>
    <t>L1-1</t>
  </si>
  <si>
    <t>Interest</t>
  </si>
  <si>
    <t>Interest &amp; Panelty Cost</t>
  </si>
  <si>
    <t>L</t>
  </si>
  <si>
    <t>Software renewal chg</t>
  </si>
  <si>
    <t>K12-2</t>
  </si>
  <si>
    <t>Credai</t>
  </si>
  <si>
    <t>K12-1</t>
  </si>
  <si>
    <t xml:space="preserve">Annual fess </t>
  </si>
  <si>
    <t>K12</t>
  </si>
  <si>
    <t>Insurance Expenses</t>
  </si>
  <si>
    <t>K11-1</t>
  </si>
  <si>
    <t xml:space="preserve">Insurance </t>
  </si>
  <si>
    <t>K11</t>
  </si>
  <si>
    <t>Printing and Stationery Exp</t>
  </si>
  <si>
    <t>K10-4</t>
  </si>
  <si>
    <t>K10</t>
  </si>
  <si>
    <t>Other Misc. Expenses</t>
  </si>
  <si>
    <t>K10-3</t>
  </si>
  <si>
    <t>Rounding off</t>
  </si>
  <si>
    <t>K10-2</t>
  </si>
  <si>
    <t>Bank Charges</t>
  </si>
  <si>
    <t>K10-1</t>
  </si>
  <si>
    <t>Misc Exp</t>
  </si>
  <si>
    <t xml:space="preserve">Rera Fees </t>
  </si>
  <si>
    <t>K9-2</t>
  </si>
  <si>
    <t>K9</t>
  </si>
  <si>
    <t>Property Tax</t>
  </si>
  <si>
    <t>K9-1</t>
  </si>
  <si>
    <t>Local Tax/ Fees Paid</t>
  </si>
  <si>
    <t>Uniform</t>
  </si>
  <si>
    <t>K8-1</t>
  </si>
  <si>
    <t>Staff Uniform</t>
  </si>
  <si>
    <t>K8</t>
  </si>
  <si>
    <t>Pantry Material</t>
  </si>
  <si>
    <t>K7-6</t>
  </si>
  <si>
    <t>K7</t>
  </si>
  <si>
    <t>Tea and Refreshment Exp</t>
  </si>
  <si>
    <t>K7-5</t>
  </si>
  <si>
    <t>Gas Exp</t>
  </si>
  <si>
    <t>K7-4</t>
  </si>
  <si>
    <t>Milk Bill</t>
  </si>
  <si>
    <t>K7-3</t>
  </si>
  <si>
    <t>Grocery</t>
  </si>
  <si>
    <t>K7-2</t>
  </si>
  <si>
    <t>Breakfast/Lunch Expenses</t>
  </si>
  <si>
    <t>K7-1</t>
  </si>
  <si>
    <t>Food</t>
  </si>
  <si>
    <t>Lodging and Bording Expenses</t>
  </si>
  <si>
    <t>K6-3</t>
  </si>
  <si>
    <t>K6</t>
  </si>
  <si>
    <t>Travell Cost / Car / Bike Rent</t>
  </si>
  <si>
    <t>K6-2</t>
  </si>
  <si>
    <t>Travelling Expenses</t>
  </si>
  <si>
    <t>K6-1</t>
  </si>
  <si>
    <t>Travel &amp; Stay</t>
  </si>
  <si>
    <t>Repair and Maintenace Expenses</t>
  </si>
  <si>
    <t>K5-2</t>
  </si>
  <si>
    <t>K5</t>
  </si>
  <si>
    <t>Cleaning Servises</t>
  </si>
  <si>
    <t>K5-1</t>
  </si>
  <si>
    <t>Maintainance</t>
  </si>
  <si>
    <t>Courier Chg/Postage and Telephone Charges</t>
  </si>
  <si>
    <t>K4-4</t>
  </si>
  <si>
    <t>K4</t>
  </si>
  <si>
    <t>Internet Bill</t>
  </si>
  <si>
    <t>K4-3</t>
  </si>
  <si>
    <t>Water Bill</t>
  </si>
  <si>
    <t>K4-2</t>
  </si>
  <si>
    <t>Site Electricity Bill</t>
  </si>
  <si>
    <t>Electricity Bill</t>
  </si>
  <si>
    <t>K4-1</t>
  </si>
  <si>
    <t>Office Bills</t>
  </si>
  <si>
    <t>Petty cash for daily admin expences</t>
  </si>
  <si>
    <t>Petty Cash</t>
  </si>
  <si>
    <t>K3-1</t>
  </si>
  <si>
    <t>Petty</t>
  </si>
  <si>
    <t>K3</t>
  </si>
  <si>
    <t>Appartment rent and deposit</t>
  </si>
  <si>
    <t>Appartment rent</t>
  </si>
  <si>
    <t>K2-2</t>
  </si>
  <si>
    <t>K2</t>
  </si>
  <si>
    <t>Office rent</t>
  </si>
  <si>
    <t>Office Lease</t>
  </si>
  <si>
    <t>K2-1</t>
  </si>
  <si>
    <t>Rent</t>
  </si>
  <si>
    <t>Payroll</t>
  </si>
  <si>
    <t>Employee Salary Reimbursed</t>
  </si>
  <si>
    <t>K1-4</t>
  </si>
  <si>
    <t>K1</t>
  </si>
  <si>
    <t>Contractor Salaries- Housekeeping Staff</t>
  </si>
  <si>
    <t>K1-3</t>
  </si>
  <si>
    <t>Contractor Salaries- Security Guard</t>
  </si>
  <si>
    <t>K1-2</t>
  </si>
  <si>
    <t>Employee Salaries</t>
  </si>
  <si>
    <t>K1-1</t>
  </si>
  <si>
    <t>Salaries</t>
  </si>
  <si>
    <t>G&amp;A Cost</t>
  </si>
  <si>
    <t>K</t>
  </si>
  <si>
    <t>Social Media Influencer</t>
  </si>
  <si>
    <t>J6-3</t>
  </si>
  <si>
    <t>J6</t>
  </si>
  <si>
    <t>Function and Festival Expenses</t>
  </si>
  <si>
    <t>J6-2</t>
  </si>
  <si>
    <t>Site Branding Cost</t>
  </si>
  <si>
    <t>J6-1</t>
  </si>
  <si>
    <t>Site Branding</t>
  </si>
  <si>
    <t>Print Ads</t>
  </si>
  <si>
    <t>J5-1</t>
  </si>
  <si>
    <t>Print</t>
  </si>
  <si>
    <t>J5</t>
  </si>
  <si>
    <t>Radio Ads</t>
  </si>
  <si>
    <t>J4-1</t>
  </si>
  <si>
    <t>Radio</t>
  </si>
  <si>
    <t>J4</t>
  </si>
  <si>
    <t>Channel partner payout</t>
  </si>
  <si>
    <t>Broker Commission</t>
  </si>
  <si>
    <t>J3-1</t>
  </si>
  <si>
    <t>Channel Partner Commission</t>
  </si>
  <si>
    <t>J3</t>
  </si>
  <si>
    <t>Other Marketing expenses</t>
  </si>
  <si>
    <t>J2-2</t>
  </si>
  <si>
    <t>J2</t>
  </si>
  <si>
    <t>Outdoor hoardings</t>
  </si>
  <si>
    <t>Hoardings</t>
  </si>
  <si>
    <t>J2-1</t>
  </si>
  <si>
    <t>Outdoor Marketing</t>
  </si>
  <si>
    <t xml:space="preserve">Advertisement </t>
  </si>
  <si>
    <t>J1-4</t>
  </si>
  <si>
    <t>J1</t>
  </si>
  <si>
    <t>Video/Photo shoot</t>
  </si>
  <si>
    <t>Shoot</t>
  </si>
  <si>
    <t>J1-3</t>
  </si>
  <si>
    <t>Meta campaigns</t>
  </si>
  <si>
    <t>Facebook Ads</t>
  </si>
  <si>
    <t>J1-2</t>
  </si>
  <si>
    <t>Google campaigns</t>
  </si>
  <si>
    <t>Google Ads</t>
  </si>
  <si>
    <t>J1-1</t>
  </si>
  <si>
    <t>Digital Marketing</t>
  </si>
  <si>
    <t>Marketing Cost</t>
  </si>
  <si>
    <t>J</t>
  </si>
  <si>
    <t xml:space="preserve">POP </t>
  </si>
  <si>
    <t>I18-1</t>
  </si>
  <si>
    <t>I18</t>
  </si>
  <si>
    <t xml:space="preserve">Water connection chg </t>
  </si>
  <si>
    <t>I17-1</t>
  </si>
  <si>
    <t>Water connection</t>
  </si>
  <si>
    <t>I17</t>
  </si>
  <si>
    <t>Heat Pump</t>
  </si>
  <si>
    <t>I16-3</t>
  </si>
  <si>
    <t>I16</t>
  </si>
  <si>
    <t>Borewell</t>
  </si>
  <si>
    <t>I16-2</t>
  </si>
  <si>
    <t>Lift</t>
  </si>
  <si>
    <t>I16-1</t>
  </si>
  <si>
    <t>Loading/ Unloading Chg</t>
  </si>
  <si>
    <t>I15-4</t>
  </si>
  <si>
    <t>I15</t>
  </si>
  <si>
    <t>Crane services</t>
  </si>
  <si>
    <t>I15-3</t>
  </si>
  <si>
    <t>JCB</t>
  </si>
  <si>
    <t>I15-2</t>
  </si>
  <si>
    <t>Material Transportation</t>
  </si>
  <si>
    <t>I15-1</t>
  </si>
  <si>
    <t>Transportation</t>
  </si>
  <si>
    <t>I14-5</t>
  </si>
  <si>
    <t>I14</t>
  </si>
  <si>
    <t>Painter other material</t>
  </si>
  <si>
    <t>Other Misc. Painting Material</t>
  </si>
  <si>
    <t>I14-4</t>
  </si>
  <si>
    <t>I14-3</t>
  </si>
  <si>
    <t>I14-2</t>
  </si>
  <si>
    <t>I14-1</t>
  </si>
  <si>
    <t>Penetron</t>
  </si>
  <si>
    <t>I7-3</t>
  </si>
  <si>
    <t>I7</t>
  </si>
  <si>
    <t>I7-2</t>
  </si>
  <si>
    <t>I7-1</t>
  </si>
  <si>
    <t>Sanitary Material &amp; C P Fitting</t>
  </si>
  <si>
    <t>I11-6</t>
  </si>
  <si>
    <t>I11</t>
  </si>
  <si>
    <t>Other Misc purchase</t>
  </si>
  <si>
    <t>I11-5</t>
  </si>
  <si>
    <t>Sanitary ware (WC, Basin, etc.)</t>
  </si>
  <si>
    <t>Sanitary Ware</t>
  </si>
  <si>
    <t>I11-4</t>
  </si>
  <si>
    <t>I11-3</t>
  </si>
  <si>
    <t>I11-2</t>
  </si>
  <si>
    <t>I11-1</t>
  </si>
  <si>
    <t>I10-9</t>
  </si>
  <si>
    <t>I10</t>
  </si>
  <si>
    <t>Home Automation</t>
  </si>
  <si>
    <t>I10-8</t>
  </si>
  <si>
    <t>AC Fitting Work</t>
  </si>
  <si>
    <t>I10-7</t>
  </si>
  <si>
    <t xml:space="preserve">Exaust Fan </t>
  </si>
  <si>
    <t>I10-6</t>
  </si>
  <si>
    <t>Electrical Meter installation</t>
  </si>
  <si>
    <t>Electrical Meter</t>
  </si>
  <si>
    <t>I10-5</t>
  </si>
  <si>
    <t>I10-4</t>
  </si>
  <si>
    <t>I10-3</t>
  </si>
  <si>
    <t>I10-2</t>
  </si>
  <si>
    <t>I10-1</t>
  </si>
  <si>
    <t>I9-10</t>
  </si>
  <si>
    <t>I9</t>
  </si>
  <si>
    <t>Door Installation Work</t>
  </si>
  <si>
    <t>I9-9</t>
  </si>
  <si>
    <t>Louvers Material</t>
  </si>
  <si>
    <t>I9-8</t>
  </si>
  <si>
    <t>Carpentry Material</t>
  </si>
  <si>
    <t>I9-7</t>
  </si>
  <si>
    <t>I9-6</t>
  </si>
  <si>
    <t>Coated Sheet</t>
  </si>
  <si>
    <t>I9-5</t>
  </si>
  <si>
    <t>Glass work</t>
  </si>
  <si>
    <t>I9-4</t>
  </si>
  <si>
    <t>I9-3</t>
  </si>
  <si>
    <t>I9-2</t>
  </si>
  <si>
    <t>I9-1</t>
  </si>
  <si>
    <t>Grout Work</t>
  </si>
  <si>
    <t>I8-5</t>
  </si>
  <si>
    <t>I8</t>
  </si>
  <si>
    <t>I8-4</t>
  </si>
  <si>
    <t>Granite</t>
  </si>
  <si>
    <t>I8-3</t>
  </si>
  <si>
    <t>Marble</t>
  </si>
  <si>
    <t>I8-2</t>
  </si>
  <si>
    <t>I8-1</t>
  </si>
  <si>
    <t>I6-2</t>
  </si>
  <si>
    <t>I6</t>
  </si>
  <si>
    <t>I6-1</t>
  </si>
  <si>
    <t>Gypsum Work</t>
  </si>
  <si>
    <t>I5-4</t>
  </si>
  <si>
    <t>I5</t>
  </si>
  <si>
    <t>Gypsum Material</t>
  </si>
  <si>
    <t>I5-3</t>
  </si>
  <si>
    <t>I5-2</t>
  </si>
  <si>
    <t>I5-1</t>
  </si>
  <si>
    <t>I4</t>
  </si>
  <si>
    <t>Popular Blockset</t>
  </si>
  <si>
    <t>I4-6</t>
  </si>
  <si>
    <t>Chemical</t>
  </si>
  <si>
    <t>I4-5</t>
  </si>
  <si>
    <t>Bambu &amp; Brics</t>
  </si>
  <si>
    <t>I4-4</t>
  </si>
  <si>
    <t>I4-3</t>
  </si>
  <si>
    <t>I4-2</t>
  </si>
  <si>
    <t>I4-1</t>
  </si>
  <si>
    <t>I3-15</t>
  </si>
  <si>
    <t>I3</t>
  </si>
  <si>
    <t>Core Cutting</t>
  </si>
  <si>
    <t>I3-14</t>
  </si>
  <si>
    <t>Ready Mix Concreate Material</t>
  </si>
  <si>
    <t>I3-13</t>
  </si>
  <si>
    <t>Piling Work</t>
  </si>
  <si>
    <t>I3-12</t>
  </si>
  <si>
    <t>Concrete Work</t>
  </si>
  <si>
    <t>I3-11</t>
  </si>
  <si>
    <t>Fastone</t>
  </si>
  <si>
    <t>I3-10</t>
  </si>
  <si>
    <t>RCC Work- Slab -1</t>
  </si>
  <si>
    <t>I3-9</t>
  </si>
  <si>
    <t>Corrugated sheet</t>
  </si>
  <si>
    <t>I3-8</t>
  </si>
  <si>
    <t>I3-7</t>
  </si>
  <si>
    <t>I3-6</t>
  </si>
  <si>
    <t>I3-5</t>
  </si>
  <si>
    <t>I3-4</t>
  </si>
  <si>
    <t>I3-3</t>
  </si>
  <si>
    <t>I3-2</t>
  </si>
  <si>
    <t>I3-1</t>
  </si>
  <si>
    <t>Construction Cost</t>
  </si>
  <si>
    <t>I</t>
  </si>
  <si>
    <t>Title verification</t>
  </si>
  <si>
    <t>Legal Due Diligence</t>
  </si>
  <si>
    <t>H5-1</t>
  </si>
  <si>
    <t>Legal</t>
  </si>
  <si>
    <t>H5</t>
  </si>
  <si>
    <t>Registration charges</t>
  </si>
  <si>
    <t>Registration Fees</t>
  </si>
  <si>
    <t>H4-1</t>
  </si>
  <si>
    <t>Registration</t>
  </si>
  <si>
    <t>H4</t>
  </si>
  <si>
    <t>Government stamp duty</t>
  </si>
  <si>
    <t>Stamp Duty</t>
  </si>
  <si>
    <t>H3-1</t>
  </si>
  <si>
    <t>H3</t>
  </si>
  <si>
    <t>Broker commission for land</t>
  </si>
  <si>
    <t>Land Broker Fee</t>
  </si>
  <si>
    <t>H2-1</t>
  </si>
  <si>
    <t>Brokerage</t>
  </si>
  <si>
    <t>H2</t>
  </si>
  <si>
    <t>Primary land acquisition payment</t>
  </si>
  <si>
    <t>Acquisition Deposit</t>
  </si>
  <si>
    <t>H1-1</t>
  </si>
  <si>
    <t>Land Acquisition</t>
  </si>
  <si>
    <t>H1</t>
  </si>
  <si>
    <t>Project Acquisition (Land &amp; Reg Exp)</t>
  </si>
  <si>
    <t>H</t>
  </si>
  <si>
    <t>Other income receipts</t>
  </si>
  <si>
    <t>Other Misc Income</t>
  </si>
  <si>
    <t>G2-1</t>
  </si>
  <si>
    <t>Misc Income</t>
  </si>
  <si>
    <t>G2</t>
  </si>
  <si>
    <t>Interest earned on bank balances</t>
  </si>
  <si>
    <t>Bank Interest</t>
  </si>
  <si>
    <t>G1-1</t>
  </si>
  <si>
    <t>Interest Income</t>
  </si>
  <si>
    <t>G1</t>
  </si>
  <si>
    <t>Other Income</t>
  </si>
  <si>
    <t>G</t>
  </si>
  <si>
    <t>Loan from directors</t>
  </si>
  <si>
    <t>Director Unsecured Loan</t>
  </si>
  <si>
    <t>F2-1</t>
  </si>
  <si>
    <t>Director Loan</t>
  </si>
  <si>
    <t>F2</t>
  </si>
  <si>
    <t>Equity from promoters</t>
  </si>
  <si>
    <t>Promoter Capital</t>
  </si>
  <si>
    <t>F1-1</t>
  </si>
  <si>
    <t>Promoter Equity</t>
  </si>
  <si>
    <t>F1</t>
  </si>
  <si>
    <t>Promoter Funding</t>
  </si>
  <si>
    <t>F</t>
  </si>
  <si>
    <t>Financial Institution construction loan</t>
  </si>
  <si>
    <t>Financial Institution Draw</t>
  </si>
  <si>
    <t>E2-1</t>
  </si>
  <si>
    <t>Construction Loan</t>
  </si>
  <si>
    <t>E2</t>
  </si>
  <si>
    <t>Financial Institution Project loan</t>
  </si>
  <si>
    <t>E1-1</t>
  </si>
  <si>
    <t>Project Loan</t>
  </si>
  <si>
    <t>E1</t>
  </si>
  <si>
    <t>Financial Institution Funding</t>
  </si>
  <si>
    <t>E</t>
  </si>
  <si>
    <t>Investor loan funding</t>
  </si>
  <si>
    <t>Investor Loan</t>
  </si>
  <si>
    <t>D2-1</t>
  </si>
  <si>
    <t>Debt Investor</t>
  </si>
  <si>
    <t>D2</t>
  </si>
  <si>
    <t>Investor equity infusion</t>
  </si>
  <si>
    <t>Equity Capital</t>
  </si>
  <si>
    <t>D1-1</t>
  </si>
  <si>
    <t>Equity Investor</t>
  </si>
  <si>
    <t>D1</t>
  </si>
  <si>
    <t>Investor Funding</t>
  </si>
  <si>
    <t>D</t>
  </si>
  <si>
    <t>Short term unsecured loan from Related Party</t>
  </si>
  <si>
    <t>Temporary Funding- Related Party</t>
  </si>
  <si>
    <t>C1-3</t>
  </si>
  <si>
    <t>C1</t>
  </si>
  <si>
    <t>Short term unsecured loan from TP</t>
  </si>
  <si>
    <t>Temporary Funding- TP</t>
  </si>
  <si>
    <t>C1-2</t>
  </si>
  <si>
    <t>Short term unsecured loan from customer</t>
  </si>
  <si>
    <t>Temporary Funding- Customer</t>
  </si>
  <si>
    <t>C1-1</t>
  </si>
  <si>
    <t>Unsecured Loans Received</t>
  </si>
  <si>
    <t>Unsecured Loan</t>
  </si>
  <si>
    <t>C</t>
  </si>
  <si>
    <t>Final possession payment</t>
  </si>
  <si>
    <t>Possession Payment</t>
  </si>
  <si>
    <t>B3-1</t>
  </si>
  <si>
    <t>Possession Collections</t>
  </si>
  <si>
    <t>B3</t>
  </si>
  <si>
    <t>Installments based on construction</t>
  </si>
  <si>
    <t>Construction Linked Payment</t>
  </si>
  <si>
    <t>B2-1</t>
  </si>
  <si>
    <t>Milestone Collections</t>
  </si>
  <si>
    <t>B2</t>
  </si>
  <si>
    <t>Customer booking advance</t>
  </si>
  <si>
    <t>Initial Booking</t>
  </si>
  <si>
    <t>B1-1</t>
  </si>
  <si>
    <t>Booking Amount</t>
  </si>
  <si>
    <t>B1</t>
  </si>
  <si>
    <t>Customer Collections</t>
  </si>
  <si>
    <t>B</t>
  </si>
  <si>
    <t>Amenity usage charges</t>
  </si>
  <si>
    <t>Clubhouse / Amenity Charges</t>
  </si>
  <si>
    <t>A3-1</t>
  </si>
  <si>
    <t>Amenity Sales</t>
  </si>
  <si>
    <t>A3</t>
  </si>
  <si>
    <t>Sale of parking</t>
  </si>
  <si>
    <t>Parking Slot Sale</t>
  </si>
  <si>
    <t>A2-1</t>
  </si>
  <si>
    <t>Parking Sales</t>
  </si>
  <si>
    <t>A2</t>
  </si>
  <si>
    <t>Sale of residential unit</t>
  </si>
  <si>
    <t>Apartment Sale</t>
  </si>
  <si>
    <t>A1-1</t>
  </si>
  <si>
    <t>Unit Sales</t>
  </si>
  <si>
    <t>A1</t>
  </si>
  <si>
    <t>Sales Revenue</t>
  </si>
  <si>
    <t>A</t>
  </si>
  <si>
    <t>NA</t>
  </si>
  <si>
    <t>Inflows</t>
  </si>
  <si>
    <t>Description</t>
  </si>
  <si>
    <t>L3 Cost Head</t>
  </si>
  <si>
    <t>L3 
Code</t>
  </si>
  <si>
    <t>L2 Category</t>
  </si>
  <si>
    <t>L2 
Code</t>
  </si>
  <si>
    <t>L1 Category</t>
  </si>
  <si>
    <t>L1 
Code</t>
  </si>
  <si>
    <t>Nature</t>
  </si>
  <si>
    <t>Activites</t>
  </si>
  <si>
    <t>L3</t>
  </si>
  <si>
    <t xml:space="preserve">Building </t>
  </si>
  <si>
    <t>Building</t>
  </si>
  <si>
    <t>CF</t>
  </si>
  <si>
    <t>Profit and Loss</t>
  </si>
  <si>
    <t>Coding for Cash Flow "CF"</t>
  </si>
  <si>
    <t>Master Data to Update</t>
  </si>
  <si>
    <t>PL</t>
  </si>
  <si>
    <t>Code</t>
  </si>
  <si>
    <t>Coding for Profit &amp; Loss "PL"</t>
  </si>
  <si>
    <t>Cashflow</t>
  </si>
  <si>
    <t>Questions</t>
  </si>
  <si>
    <t>Yes</t>
  </si>
  <si>
    <t>No</t>
  </si>
  <si>
    <t>Applicable ?</t>
  </si>
  <si>
    <t>ok</t>
  </si>
  <si>
    <t>X</t>
  </si>
  <si>
    <t>Y</t>
  </si>
  <si>
    <t>Z</t>
  </si>
  <si>
    <t xml:space="preserve"> </t>
  </si>
  <si>
    <t>OK</t>
  </si>
  <si>
    <t>Statutory Taxes/Interest/Penalty</t>
  </si>
  <si>
    <t>Interrest &amp; Penalty</t>
  </si>
  <si>
    <t>Finance Cost</t>
  </si>
  <si>
    <t>CGST Paid</t>
  </si>
  <si>
    <t>SGST Paid</t>
  </si>
  <si>
    <t>Only Net GST Paid in cash to be recorded</t>
  </si>
  <si>
    <t>RCM CGST Paid</t>
  </si>
  <si>
    <t>RCM SGST Paid</t>
  </si>
  <si>
    <t>RCM Liability Paid</t>
  </si>
  <si>
    <t>Advance Tax Paid</t>
  </si>
  <si>
    <t>TDS Paid- Duties and Taxes</t>
  </si>
  <si>
    <t xml:space="preserve">GST amount received from Customer </t>
  </si>
  <si>
    <t>Professional Tax Paid</t>
  </si>
  <si>
    <t>Income Tax Expenses</t>
  </si>
  <si>
    <t>Tax Expenses to be booked</t>
  </si>
  <si>
    <t>Fixed Assets</t>
  </si>
  <si>
    <t>Depreciation</t>
  </si>
  <si>
    <t>Landowner-3</t>
  </si>
  <si>
    <t>Common</t>
  </si>
  <si>
    <t>common</t>
  </si>
  <si>
    <t>CM</t>
  </si>
  <si>
    <t xml:space="preserve">RCC Work- Slab </t>
  </si>
  <si>
    <t>Professiona Fees -CA</t>
  </si>
  <si>
    <t>Remuneration Paid to  Partner</t>
  </si>
  <si>
    <t>Remuneration Paid to Partner</t>
  </si>
  <si>
    <t>Gaurav Sir Credit Card Expenses</t>
  </si>
  <si>
    <t>Other Current Liabiliites</t>
  </si>
  <si>
    <t xml:space="preserve">Credit card </t>
  </si>
  <si>
    <t>Gypsum Work / Material</t>
  </si>
  <si>
    <t>Articial Plants and Grass</t>
  </si>
  <si>
    <t>Gmail monthly Payment</t>
  </si>
  <si>
    <t>Call Tracking services</t>
  </si>
  <si>
    <t>Suspense</t>
  </si>
  <si>
    <t>BOQ Consultant</t>
  </si>
  <si>
    <t>Transportation Chg</t>
  </si>
  <si>
    <t>Transportation Chg paid</t>
  </si>
  <si>
    <t>Asset Purchase</t>
  </si>
  <si>
    <t>Vendor Advance</t>
  </si>
  <si>
    <t>Inverter</t>
  </si>
  <si>
    <t>Louvers Labour</t>
  </si>
  <si>
    <t>Tarpaulin Sheet</t>
  </si>
  <si>
    <t>Labour Charges</t>
  </si>
  <si>
    <t>Labour Chg paid</t>
  </si>
  <si>
    <t>Vendor Retention</t>
  </si>
  <si>
    <t>Provision</t>
  </si>
  <si>
    <t>Interest Payable- UL</t>
  </si>
  <si>
    <t>Duties and Taxes</t>
  </si>
  <si>
    <t>Other Current Assets</t>
  </si>
  <si>
    <t>Advance Tax paid</t>
  </si>
  <si>
    <t>Exclavation</t>
  </si>
  <si>
    <t>Exclavation Work</t>
  </si>
  <si>
    <t>Common Expenses</t>
  </si>
  <si>
    <t>Cleaning</t>
  </si>
  <si>
    <t>Cleaning Charges</t>
  </si>
  <si>
    <t xml:space="preserve">Credit Card </t>
  </si>
  <si>
    <t>Gaurav  Sir Credit Card Expenses</t>
  </si>
  <si>
    <t xml:space="preserve">Direct Tax </t>
  </si>
  <si>
    <t>TDS Payable</t>
  </si>
  <si>
    <t>GST ITC Expense</t>
  </si>
  <si>
    <t>GST  ITC Expense out</t>
  </si>
  <si>
    <t>Payables</t>
  </si>
  <si>
    <t>Creditros</t>
  </si>
  <si>
    <t>Salary Payable</t>
  </si>
  <si>
    <t>Statutory Payables</t>
  </si>
  <si>
    <t>GST Payables</t>
  </si>
  <si>
    <t>Creditor payable</t>
  </si>
  <si>
    <t xml:space="preserve">Salary </t>
  </si>
  <si>
    <t>Provision C</t>
  </si>
  <si>
    <t>Louvers Work</t>
  </si>
  <si>
    <t>Finishing</t>
  </si>
  <si>
    <t>Tiles 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</si>
</sst>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/>
    <xf numFmtId="0" fontId="0" fillId="0" borderId="23" xfId="0" applyBorder="1"/>
    <xf numFmtId="0" fontId="2" fillId="4" borderId="29" xfId="0" applyFont="1" applyFill="1" applyBorder="1" applyAlignment="1">
      <alignment vertical="center"/>
    </xf>
    <xf numFmtId="0" fontId="4" fillId="4" borderId="30" xfId="0" applyFont="1" applyFill="1" applyBorder="1" applyAlignment="1">
      <alignment vertical="center"/>
    </xf>
    <xf numFmtId="0" fontId="4" fillId="4" borderId="31" xfId="0" applyFont="1" applyFill="1" applyBorder="1" applyAlignment="1">
      <alignment vertical="center"/>
    </xf>
    <xf numFmtId="0" fontId="2" fillId="4" borderId="31" xfId="0" applyFont="1" applyFill="1" applyBorder="1" applyAlignment="1">
      <alignment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/>
    </xf>
    <xf numFmtId="0" fontId="0" fillId="4" borderId="32" xfId="0" applyFill="1" applyBorder="1"/>
    <xf numFmtId="0" fontId="2" fillId="0" borderId="0" xfId="0" applyFont="1" applyAlignment="1">
      <alignment horizontal="center" vertical="center"/>
    </xf>
    <xf numFmtId="0" fontId="0" fillId="5" borderId="0" xfId="0" applyFill="1"/>
    <xf numFmtId="0" fontId="0" fillId="5" borderId="8" xfId="0" applyFill="1" applyBorder="1"/>
    <xf numFmtId="0" fontId="0" fillId="5" borderId="33" xfId="0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/>
    <xf numFmtId="0" fontId="0" fillId="4" borderId="11" xfId="0" applyFill="1" applyBorder="1"/>
    <xf numFmtId="0" fontId="0" fillId="10" borderId="0" xfId="0" applyFill="1"/>
    <xf numFmtId="0" fontId="0" fillId="11" borderId="0" xfId="0" applyFill="1"/>
    <xf numFmtId="164" fontId="0" fillId="4" borderId="11" xfId="1" applyFont="1" applyFill="1" applyBorder="1"/>
    <xf numFmtId="164" fontId="0" fillId="7" borderId="0" xfId="1" applyFont="1" applyFill="1" applyBorder="1" applyAlignment="1"/>
    <xf numFmtId="164" fontId="0" fillId="7" borderId="0" xfId="1" applyFont="1" applyFill="1" applyAlignment="1"/>
    <xf numFmtId="0" fontId="2" fillId="5" borderId="24" xfId="0" applyFont="1" applyFill="1" applyBorder="1" applyAlignment="1">
      <alignment horizontal="center" vertical="center"/>
    </xf>
    <xf numFmtId="0" fontId="0" fillId="12" borderId="0" xfId="0" applyFill="1"/>
    <xf numFmtId="0" fontId="2" fillId="12" borderId="0" xfId="0" applyFont="1" applyFill="1"/>
    <xf numFmtId="0" fontId="2" fillId="12" borderId="21" xfId="0" applyFont="1" applyFill="1" applyBorder="1"/>
    <xf numFmtId="0" fontId="2" fillId="12" borderId="41" xfId="0" applyFont="1" applyFill="1" applyBorder="1"/>
    <xf numFmtId="0" fontId="0" fillId="5" borderId="34" xfId="0" applyFill="1" applyBorder="1"/>
    <xf numFmtId="0" fontId="2" fillId="5" borderId="10" xfId="0" applyFont="1" applyFill="1" applyBorder="1"/>
    <xf numFmtId="0" fontId="0" fillId="5" borderId="36" xfId="0" applyFill="1" applyBorder="1"/>
    <xf numFmtId="0" fontId="2" fillId="5" borderId="36" xfId="0" applyFont="1" applyFill="1" applyBorder="1"/>
    <xf numFmtId="164" fontId="0" fillId="8" borderId="11" xfId="1" applyFont="1" applyFill="1" applyBorder="1"/>
    <xf numFmtId="0" fontId="0" fillId="8" borderId="11" xfId="0" applyFill="1" applyBorder="1"/>
    <xf numFmtId="164" fontId="0" fillId="9" borderId="11" xfId="1" applyFont="1" applyFill="1" applyBorder="1"/>
    <xf numFmtId="0" fontId="0" fillId="9" borderId="11" xfId="0" applyFill="1" applyBorder="1"/>
    <xf numFmtId="164" fontId="0" fillId="10" borderId="11" xfId="1" applyFont="1" applyFill="1" applyBorder="1" applyAlignment="1"/>
    <xf numFmtId="0" fontId="0" fillId="10" borderId="11" xfId="0" applyFill="1" applyBorder="1"/>
    <xf numFmtId="164" fontId="0" fillId="11" borderId="11" xfId="1" applyFont="1" applyFill="1" applyBorder="1" applyAlignment="1"/>
    <xf numFmtId="0" fontId="0" fillId="11" borderId="11" xfId="0" applyFill="1" applyBorder="1"/>
    <xf numFmtId="0" fontId="2" fillId="5" borderId="16" xfId="0" applyFont="1" applyFill="1" applyBorder="1" applyAlignment="1">
      <alignment horizontal="center" vertical="center"/>
    </xf>
    <xf numFmtId="0" fontId="0" fillId="5" borderId="11" xfId="0" applyFill="1" applyBorder="1"/>
    <xf numFmtId="0" fontId="2" fillId="5" borderId="11" xfId="0" applyFont="1" applyFill="1" applyBorder="1"/>
    <xf numFmtId="0" fontId="2" fillId="5" borderId="43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164" fontId="2" fillId="10" borderId="11" xfId="1" applyFont="1" applyFill="1" applyBorder="1" applyAlignment="1"/>
    <xf numFmtId="164" fontId="2" fillId="11" borderId="11" xfId="1" applyFont="1" applyFill="1" applyBorder="1" applyAlignment="1"/>
    <xf numFmtId="164" fontId="2" fillId="7" borderId="0" xfId="1" applyFont="1" applyFill="1" applyBorder="1" applyAlignment="1"/>
    <xf numFmtId="164" fontId="6" fillId="7" borderId="0" xfId="1" applyFont="1" applyFill="1" applyBorder="1" applyAlignment="1"/>
    <xf numFmtId="164" fontId="2" fillId="8" borderId="11" xfId="1" applyFont="1" applyFill="1" applyBorder="1"/>
    <xf numFmtId="164" fontId="2" fillId="9" borderId="11" xfId="1" applyFont="1" applyFill="1" applyBorder="1"/>
    <xf numFmtId="164" fontId="2" fillId="4" borderId="11" xfId="1" applyFont="1" applyFill="1" applyBorder="1"/>
    <xf numFmtId="164" fontId="6" fillId="4" borderId="11" xfId="1" applyFont="1" applyFill="1" applyBorder="1"/>
    <xf numFmtId="164" fontId="2" fillId="7" borderId="0" xfId="1" applyFont="1" applyFill="1" applyAlignment="1"/>
    <xf numFmtId="164" fontId="1" fillId="8" borderId="11" xfId="1" applyFont="1" applyFill="1" applyBorder="1"/>
    <xf numFmtId="164" fontId="1" fillId="9" borderId="11" xfId="1" applyFont="1" applyFill="1" applyBorder="1"/>
    <xf numFmtId="164" fontId="1" fillId="4" borderId="11" xfId="1" applyFont="1" applyFill="1" applyBorder="1"/>
    <xf numFmtId="164" fontId="1" fillId="10" borderId="11" xfId="1" applyFont="1" applyFill="1" applyBorder="1" applyAlignment="1"/>
    <xf numFmtId="164" fontId="1" fillId="11" borderId="11" xfId="1" applyFont="1" applyFill="1" applyBorder="1" applyAlignment="1"/>
    <xf numFmtId="164" fontId="1" fillId="7" borderId="0" xfId="1" applyFont="1" applyFill="1" applyBorder="1" applyAlignment="1"/>
    <xf numFmtId="164" fontId="1" fillId="7" borderId="0" xfId="1" applyFont="1" applyFill="1" applyAlignment="1"/>
    <xf numFmtId="0" fontId="2" fillId="0" borderId="0" xfId="0" applyFont="1"/>
    <xf numFmtId="0" fontId="7" fillId="5" borderId="11" xfId="0" applyFont="1" applyFill="1" applyBorder="1"/>
    <xf numFmtId="0" fontId="7" fillId="5" borderId="36" xfId="0" applyFont="1" applyFill="1" applyBorder="1"/>
    <xf numFmtId="164" fontId="7" fillId="8" borderId="11" xfId="1" applyFont="1" applyFill="1" applyBorder="1"/>
    <xf numFmtId="164" fontId="7" fillId="9" borderId="11" xfId="1" applyFont="1" applyFill="1" applyBorder="1"/>
    <xf numFmtId="164" fontId="7" fillId="4" borderId="11" xfId="1" applyFont="1" applyFill="1" applyBorder="1"/>
    <xf numFmtId="164" fontId="7" fillId="10" borderId="11" xfId="1" applyFont="1" applyFill="1" applyBorder="1" applyAlignment="1"/>
    <xf numFmtId="164" fontId="7" fillId="11" borderId="11" xfId="1" applyFont="1" applyFill="1" applyBorder="1" applyAlignment="1"/>
    <xf numFmtId="164" fontId="7" fillId="7" borderId="0" xfId="1" applyFont="1" applyFill="1" applyBorder="1" applyAlignment="1"/>
    <xf numFmtId="0" fontId="7" fillId="12" borderId="0" xfId="0" applyFont="1" applyFill="1"/>
    <xf numFmtId="49" fontId="8" fillId="0" borderId="0" xfId="0" applyNumberFormat="1" applyFont="1" applyAlignment="1">
      <alignment vertical="top"/>
    </xf>
    <xf numFmtId="164" fontId="6" fillId="8" borderId="11" xfId="1" applyFont="1" applyFill="1" applyBorder="1"/>
    <xf numFmtId="164" fontId="6" fillId="9" borderId="11" xfId="1" applyFont="1" applyFill="1" applyBorder="1"/>
    <xf numFmtId="164" fontId="6" fillId="10" borderId="11" xfId="1" applyFont="1" applyFill="1" applyBorder="1" applyAlignment="1"/>
    <xf numFmtId="164" fontId="6" fillId="11" borderId="11" xfId="1" applyFont="1" applyFill="1" applyBorder="1" applyAlignment="1"/>
    <xf numFmtId="0" fontId="7" fillId="0" borderId="0" xfId="0" applyFont="1"/>
    <xf numFmtId="49" fontId="7" fillId="5" borderId="11" xfId="0" applyNumberFormat="1" applyFont="1" applyFill="1" applyBorder="1"/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 textRotation="90"/>
    </xf>
    <xf numFmtId="0" fontId="3" fillId="2" borderId="22" xfId="0" applyFont="1" applyFill="1" applyBorder="1" applyAlignment="1">
      <alignment horizontal="center" vertical="center" textRotation="90"/>
    </xf>
    <xf numFmtId="0" fontId="3" fillId="2" borderId="21" xfId="0" applyFont="1" applyFill="1" applyBorder="1" applyAlignment="1">
      <alignment horizontal="center" vertical="center" textRotation="90"/>
    </xf>
    <xf numFmtId="0" fontId="3" fillId="3" borderId="27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 textRotation="90"/>
    </xf>
    <xf numFmtId="0" fontId="3" fillId="3" borderId="28" xfId="0" applyFont="1" applyFill="1" applyBorder="1" applyAlignment="1">
      <alignment horizontal="center" vertical="center" textRotation="90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" fillId="12" borderId="40" xfId="0" applyFont="1" applyFill="1" applyBorder="1" applyAlignment="1">
      <alignment horizontal="center"/>
    </xf>
    <xf numFmtId="0" fontId="2" fillId="12" borderId="24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0" fillId="8" borderId="16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38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2"/>
  <sheetViews>
    <sheetView topLeftCell="A160" zoomScale="87" zoomScaleNormal="115" workbookViewId="0">
      <selection activeCell="I328" sqref="I328"/>
    </sheetView>
  </sheetViews>
  <sheetFormatPr defaultRowHeight="13.8"/>
  <cols>
    <col min="2" max="2" width="8.5" style="1" bestFit="1" customWidth="1"/>
    <col min="3" max="3" width="7" style="1" bestFit="1" customWidth="1"/>
    <col min="4" max="4" width="5.09765625" style="1" customWidth="1"/>
    <col min="5" max="5" width="30.5" bestFit="1" customWidth="1"/>
    <col min="6" max="6" width="5.19921875" style="1" customWidth="1"/>
    <col min="7" max="7" width="30.296875" bestFit="1" customWidth="1"/>
    <col min="8" max="8" width="6.296875" bestFit="1" customWidth="1"/>
    <col min="9" max="9" width="41.296875" bestFit="1" customWidth="1"/>
    <col min="10" max="10" width="5" customWidth="1"/>
    <col min="11" max="11" width="41.296875" customWidth="1"/>
    <col min="12" max="12" width="42.5" bestFit="1" customWidth="1"/>
  </cols>
  <sheetData>
    <row r="2" spans="1:12" ht="14.4" thickBot="1"/>
    <row r="3" spans="1:12" ht="42" thickBot="1">
      <c r="A3" s="33"/>
      <c r="B3" s="32" t="s">
        <v>872</v>
      </c>
      <c r="C3" s="32" t="s">
        <v>871</v>
      </c>
      <c r="D3" s="31" t="s">
        <v>870</v>
      </c>
      <c r="E3" s="29" t="s">
        <v>869</v>
      </c>
      <c r="F3" s="31" t="s">
        <v>868</v>
      </c>
      <c r="G3" s="29" t="s">
        <v>867</v>
      </c>
      <c r="H3" s="30" t="s">
        <v>866</v>
      </c>
      <c r="I3" s="29" t="s">
        <v>865</v>
      </c>
      <c r="J3" s="28"/>
      <c r="K3" s="28"/>
      <c r="L3" s="27" t="s">
        <v>864</v>
      </c>
    </row>
    <row r="4" spans="1:12">
      <c r="A4" s="124" t="s">
        <v>863</v>
      </c>
      <c r="B4" s="112" t="s">
        <v>888</v>
      </c>
      <c r="C4" s="129" t="s">
        <v>862</v>
      </c>
      <c r="D4" s="112" t="s">
        <v>861</v>
      </c>
      <c r="E4" s="110" t="s">
        <v>860</v>
      </c>
      <c r="F4" s="3" t="s">
        <v>859</v>
      </c>
      <c r="G4" s="2" t="s">
        <v>858</v>
      </c>
      <c r="H4" s="2" t="s">
        <v>857</v>
      </c>
      <c r="I4" s="2" t="s">
        <v>856</v>
      </c>
      <c r="J4" s="26"/>
      <c r="K4" s="26"/>
      <c r="L4" s="25" t="s">
        <v>855</v>
      </c>
    </row>
    <row r="5" spans="1:12">
      <c r="A5" s="125"/>
      <c r="B5" s="103"/>
      <c r="C5" s="128"/>
      <c r="D5" s="103"/>
      <c r="E5" s="111"/>
      <c r="F5" s="10" t="s">
        <v>854</v>
      </c>
      <c r="G5" s="8" t="s">
        <v>853</v>
      </c>
      <c r="H5" s="8" t="s">
        <v>852</v>
      </c>
      <c r="I5" s="8" t="s">
        <v>851</v>
      </c>
      <c r="J5" s="7"/>
      <c r="K5" s="7"/>
      <c r="L5" s="6" t="s">
        <v>850</v>
      </c>
    </row>
    <row r="6" spans="1:12">
      <c r="A6" s="125"/>
      <c r="B6" s="103"/>
      <c r="C6" s="112"/>
      <c r="D6" s="103"/>
      <c r="E6" s="111"/>
      <c r="F6" s="10" t="s">
        <v>849</v>
      </c>
      <c r="G6" s="8" t="s">
        <v>848</v>
      </c>
      <c r="H6" s="8" t="s">
        <v>847</v>
      </c>
      <c r="I6" s="8" t="s">
        <v>846</v>
      </c>
      <c r="J6" s="7"/>
      <c r="K6" s="7"/>
      <c r="L6" s="6" t="s">
        <v>845</v>
      </c>
    </row>
    <row r="7" spans="1:12">
      <c r="A7" s="125"/>
      <c r="B7" s="103" t="s">
        <v>888</v>
      </c>
      <c r="C7" s="127" t="s">
        <v>8</v>
      </c>
      <c r="D7" s="103" t="s">
        <v>844</v>
      </c>
      <c r="E7" s="111" t="s">
        <v>843</v>
      </c>
      <c r="F7" s="10" t="s">
        <v>842</v>
      </c>
      <c r="G7" s="8" t="s">
        <v>841</v>
      </c>
      <c r="H7" s="8" t="s">
        <v>840</v>
      </c>
      <c r="I7" s="8" t="s">
        <v>839</v>
      </c>
      <c r="J7" s="7"/>
      <c r="K7" s="7"/>
      <c r="L7" s="6" t="s">
        <v>838</v>
      </c>
    </row>
    <row r="8" spans="1:12">
      <c r="A8" s="125"/>
      <c r="B8" s="103"/>
      <c r="C8" s="128"/>
      <c r="D8" s="103"/>
      <c r="E8" s="111"/>
      <c r="F8" s="10" t="s">
        <v>837</v>
      </c>
      <c r="G8" s="8" t="s">
        <v>836</v>
      </c>
      <c r="H8" s="8" t="s">
        <v>835</v>
      </c>
      <c r="I8" s="8" t="s">
        <v>834</v>
      </c>
      <c r="J8" s="7"/>
      <c r="K8" s="7"/>
      <c r="L8" s="6" t="s">
        <v>833</v>
      </c>
    </row>
    <row r="9" spans="1:12">
      <c r="A9" s="125"/>
      <c r="B9" s="103"/>
      <c r="C9" s="112"/>
      <c r="D9" s="103"/>
      <c r="E9" s="111"/>
      <c r="F9" s="10" t="s">
        <v>832</v>
      </c>
      <c r="G9" s="8" t="s">
        <v>831</v>
      </c>
      <c r="H9" s="8" t="s">
        <v>830</v>
      </c>
      <c r="I9" s="8" t="s">
        <v>829</v>
      </c>
      <c r="J9" s="7"/>
      <c r="K9" s="7"/>
      <c r="L9" s="6" t="s">
        <v>828</v>
      </c>
    </row>
    <row r="10" spans="1:12">
      <c r="A10" s="125"/>
      <c r="B10" s="127" t="s">
        <v>912</v>
      </c>
      <c r="C10" s="127" t="s">
        <v>8</v>
      </c>
      <c r="D10" s="127" t="s">
        <v>827</v>
      </c>
      <c r="E10" s="108" t="s">
        <v>826</v>
      </c>
      <c r="F10" s="10" t="s">
        <v>818</v>
      </c>
      <c r="G10" s="105" t="s">
        <v>825</v>
      </c>
      <c r="H10" s="8" t="s">
        <v>824</v>
      </c>
      <c r="I10" s="8" t="s">
        <v>823</v>
      </c>
      <c r="J10" s="7"/>
      <c r="K10" s="7"/>
      <c r="L10" s="6" t="s">
        <v>822</v>
      </c>
    </row>
    <row r="11" spans="1:12">
      <c r="A11" s="125"/>
      <c r="B11" s="128"/>
      <c r="C11" s="128"/>
      <c r="D11" s="128"/>
      <c r="E11" s="109"/>
      <c r="F11" s="10" t="s">
        <v>818</v>
      </c>
      <c r="G11" s="107"/>
      <c r="H11" s="8" t="s">
        <v>821</v>
      </c>
      <c r="I11" s="8" t="s">
        <v>820</v>
      </c>
      <c r="J11" s="7"/>
      <c r="K11" s="7"/>
      <c r="L11" s="6" t="s">
        <v>819</v>
      </c>
    </row>
    <row r="12" spans="1:12">
      <c r="A12" s="125"/>
      <c r="B12" s="128"/>
      <c r="C12" s="112"/>
      <c r="D12" s="128"/>
      <c r="E12" s="110"/>
      <c r="F12" s="10" t="s">
        <v>818</v>
      </c>
      <c r="G12" s="106"/>
      <c r="H12" s="8" t="s">
        <v>817</v>
      </c>
      <c r="I12" s="8" t="s">
        <v>816</v>
      </c>
      <c r="J12" s="7"/>
      <c r="K12" s="7"/>
      <c r="L12" s="6" t="s">
        <v>815</v>
      </c>
    </row>
    <row r="13" spans="1:12">
      <c r="A13" s="125"/>
      <c r="B13" s="103"/>
      <c r="C13" s="127" t="s">
        <v>8</v>
      </c>
      <c r="D13" s="103" t="s">
        <v>814</v>
      </c>
      <c r="E13" s="111" t="s">
        <v>813</v>
      </c>
      <c r="F13" s="10" t="s">
        <v>812</v>
      </c>
      <c r="G13" s="8" t="s">
        <v>811</v>
      </c>
      <c r="H13" s="8" t="s">
        <v>810</v>
      </c>
      <c r="I13" s="8" t="s">
        <v>809</v>
      </c>
      <c r="J13" s="7"/>
      <c r="K13" s="7"/>
      <c r="L13" s="6" t="s">
        <v>808</v>
      </c>
    </row>
    <row r="14" spans="1:12">
      <c r="A14" s="125"/>
      <c r="B14" s="103"/>
      <c r="C14" s="112"/>
      <c r="D14" s="103"/>
      <c r="E14" s="111"/>
      <c r="F14" s="10" t="s">
        <v>807</v>
      </c>
      <c r="G14" s="8" t="s">
        <v>806</v>
      </c>
      <c r="H14" s="8" t="s">
        <v>805</v>
      </c>
      <c r="I14" s="8" t="s">
        <v>804</v>
      </c>
      <c r="J14" s="7"/>
      <c r="K14" s="7"/>
      <c r="L14" s="6" t="s">
        <v>803</v>
      </c>
    </row>
    <row r="15" spans="1:12">
      <c r="A15" s="125"/>
      <c r="B15" s="103"/>
      <c r="C15" s="127" t="s">
        <v>8</v>
      </c>
      <c r="D15" s="103" t="s">
        <v>802</v>
      </c>
      <c r="E15" s="111" t="s">
        <v>801</v>
      </c>
      <c r="F15" s="10" t="s">
        <v>800</v>
      </c>
      <c r="G15" s="8" t="s">
        <v>799</v>
      </c>
      <c r="H15" s="8" t="s">
        <v>798</v>
      </c>
      <c r="I15" s="8" t="s">
        <v>793</v>
      </c>
      <c r="J15" s="7"/>
      <c r="K15" s="7"/>
      <c r="L15" s="6" t="s">
        <v>797</v>
      </c>
    </row>
    <row r="16" spans="1:12">
      <c r="A16" s="125"/>
      <c r="B16" s="103"/>
      <c r="C16" s="112"/>
      <c r="D16" s="103"/>
      <c r="E16" s="111"/>
      <c r="F16" s="10" t="s">
        <v>796</v>
      </c>
      <c r="G16" s="8" t="s">
        <v>795</v>
      </c>
      <c r="H16" s="8" t="s">
        <v>794</v>
      </c>
      <c r="I16" s="8" t="s">
        <v>793</v>
      </c>
      <c r="J16" s="7"/>
      <c r="K16" s="7"/>
      <c r="L16" s="6" t="s">
        <v>792</v>
      </c>
    </row>
    <row r="17" spans="1:12">
      <c r="A17" s="125"/>
      <c r="B17" s="103"/>
      <c r="C17" s="127" t="s">
        <v>8</v>
      </c>
      <c r="D17" s="103" t="s">
        <v>791</v>
      </c>
      <c r="E17" s="111" t="s">
        <v>790</v>
      </c>
      <c r="F17" s="10" t="s">
        <v>789</v>
      </c>
      <c r="G17" s="8" t="s">
        <v>788</v>
      </c>
      <c r="H17" s="8" t="s">
        <v>787</v>
      </c>
      <c r="I17" s="8" t="s">
        <v>786</v>
      </c>
      <c r="J17" s="7"/>
      <c r="K17" s="7"/>
      <c r="L17" s="6" t="s">
        <v>785</v>
      </c>
    </row>
    <row r="18" spans="1:12">
      <c r="A18" s="125"/>
      <c r="B18" s="103"/>
      <c r="C18" s="112"/>
      <c r="D18" s="103"/>
      <c r="E18" s="111"/>
      <c r="F18" s="10" t="s">
        <v>784</v>
      </c>
      <c r="G18" s="8" t="s">
        <v>783</v>
      </c>
      <c r="H18" s="8" t="s">
        <v>782</v>
      </c>
      <c r="I18" s="8" t="s">
        <v>781</v>
      </c>
      <c r="J18" s="7"/>
      <c r="K18" s="7"/>
      <c r="L18" s="6" t="s">
        <v>780</v>
      </c>
    </row>
    <row r="19" spans="1:12">
      <c r="A19" s="125"/>
      <c r="B19" s="103"/>
      <c r="C19" s="127" t="s">
        <v>8</v>
      </c>
      <c r="D19" s="103" t="s">
        <v>779</v>
      </c>
      <c r="E19" s="111" t="s">
        <v>778</v>
      </c>
      <c r="F19" s="10" t="s">
        <v>777</v>
      </c>
      <c r="G19" s="8" t="s">
        <v>776</v>
      </c>
      <c r="H19" s="8" t="s">
        <v>775</v>
      </c>
      <c r="I19" s="8" t="s">
        <v>774</v>
      </c>
      <c r="J19" s="7"/>
      <c r="K19" s="7"/>
      <c r="L19" s="6" t="s">
        <v>773</v>
      </c>
    </row>
    <row r="20" spans="1:12" ht="14.4" thickBot="1">
      <c r="A20" s="126"/>
      <c r="B20" s="103"/>
      <c r="C20" s="112"/>
      <c r="D20" s="103"/>
      <c r="E20" s="108"/>
      <c r="F20" s="24" t="s">
        <v>772</v>
      </c>
      <c r="G20" s="11" t="s">
        <v>771</v>
      </c>
      <c r="H20" s="11" t="s">
        <v>770</v>
      </c>
      <c r="I20" s="11" t="s">
        <v>769</v>
      </c>
      <c r="J20" s="14"/>
      <c r="K20" s="14"/>
      <c r="L20" s="13" t="s">
        <v>768</v>
      </c>
    </row>
    <row r="21" spans="1:12" ht="14.7" customHeight="1">
      <c r="A21" s="121"/>
      <c r="B21" s="112" t="s">
        <v>888</v>
      </c>
      <c r="C21" s="127" t="s">
        <v>8</v>
      </c>
      <c r="D21" s="112" t="s">
        <v>767</v>
      </c>
      <c r="E21" s="105" t="s">
        <v>766</v>
      </c>
      <c r="F21" s="23" t="s">
        <v>765</v>
      </c>
      <c r="G21" s="22" t="s">
        <v>764</v>
      </c>
      <c r="H21" s="22" t="s">
        <v>763</v>
      </c>
      <c r="I21" s="22" t="s">
        <v>762</v>
      </c>
      <c r="J21" s="21"/>
      <c r="K21" s="21"/>
      <c r="L21" s="20" t="s">
        <v>761</v>
      </c>
    </row>
    <row r="22" spans="1:12">
      <c r="A22" s="122"/>
      <c r="B22" s="103"/>
      <c r="C22" s="128"/>
      <c r="D22" s="103"/>
      <c r="E22" s="107"/>
      <c r="F22" s="10" t="s">
        <v>760</v>
      </c>
      <c r="G22" s="8" t="s">
        <v>759</v>
      </c>
      <c r="H22" s="8" t="s">
        <v>758</v>
      </c>
      <c r="I22" s="8" t="s">
        <v>757</v>
      </c>
      <c r="J22" s="7"/>
      <c r="K22" s="7"/>
      <c r="L22" s="6" t="s">
        <v>756</v>
      </c>
    </row>
    <row r="23" spans="1:12">
      <c r="A23" s="122"/>
      <c r="B23" s="103"/>
      <c r="C23" s="128"/>
      <c r="D23" s="103"/>
      <c r="E23" s="107"/>
      <c r="F23" s="10" t="s">
        <v>755</v>
      </c>
      <c r="G23" s="8" t="s">
        <v>753</v>
      </c>
      <c r="H23" s="8" t="s">
        <v>754</v>
      </c>
      <c r="I23" s="8" t="s">
        <v>753</v>
      </c>
      <c r="J23" s="7"/>
      <c r="K23" s="7"/>
      <c r="L23" s="6" t="s">
        <v>752</v>
      </c>
    </row>
    <row r="24" spans="1:12">
      <c r="A24" s="122"/>
      <c r="B24" s="103"/>
      <c r="C24" s="128"/>
      <c r="D24" s="103"/>
      <c r="E24" s="107"/>
      <c r="F24" s="10" t="s">
        <v>751</v>
      </c>
      <c r="G24" s="8" t="s">
        <v>750</v>
      </c>
      <c r="H24" s="8" t="s">
        <v>749</v>
      </c>
      <c r="I24" s="8" t="s">
        <v>748</v>
      </c>
      <c r="J24" s="7"/>
      <c r="K24" s="7"/>
      <c r="L24" s="6" t="s">
        <v>747</v>
      </c>
    </row>
    <row r="25" spans="1:12">
      <c r="A25" s="122"/>
      <c r="B25" s="103"/>
      <c r="C25" s="112"/>
      <c r="D25" s="103"/>
      <c r="E25" s="106"/>
      <c r="F25" s="10" t="s">
        <v>746</v>
      </c>
      <c r="G25" s="8" t="s">
        <v>745</v>
      </c>
      <c r="H25" s="8" t="s">
        <v>744</v>
      </c>
      <c r="I25" s="8" t="s">
        <v>743</v>
      </c>
      <c r="J25" s="7"/>
      <c r="K25" s="7"/>
      <c r="L25" s="6" t="s">
        <v>742</v>
      </c>
    </row>
    <row r="26" spans="1:12">
      <c r="A26" s="122"/>
      <c r="B26" s="113" t="s">
        <v>888</v>
      </c>
      <c r="C26" s="127" t="s">
        <v>8</v>
      </c>
      <c r="D26" s="113" t="s">
        <v>741</v>
      </c>
      <c r="E26" s="105" t="s">
        <v>740</v>
      </c>
      <c r="F26" s="10" t="s">
        <v>718</v>
      </c>
      <c r="G26" s="105" t="s">
        <v>309</v>
      </c>
      <c r="H26" s="8" t="s">
        <v>739</v>
      </c>
      <c r="I26" s="8" t="s">
        <v>307</v>
      </c>
      <c r="J26" s="7"/>
      <c r="K26" s="7"/>
      <c r="L26" s="6" t="s">
        <v>306</v>
      </c>
    </row>
    <row r="27" spans="1:12">
      <c r="A27" s="122"/>
      <c r="B27" s="114"/>
      <c r="C27" s="128"/>
      <c r="D27" s="114"/>
      <c r="E27" s="107"/>
      <c r="F27" s="10" t="s">
        <v>718</v>
      </c>
      <c r="G27" s="107"/>
      <c r="H27" s="8" t="s">
        <v>738</v>
      </c>
      <c r="I27" s="8" t="s">
        <v>304</v>
      </c>
      <c r="J27" s="7"/>
      <c r="K27" s="7"/>
      <c r="L27" s="6" t="s">
        <v>303</v>
      </c>
    </row>
    <row r="28" spans="1:12">
      <c r="A28" s="122"/>
      <c r="B28" s="114"/>
      <c r="C28" s="128"/>
      <c r="D28" s="114"/>
      <c r="E28" s="107"/>
      <c r="F28" s="10" t="s">
        <v>718</v>
      </c>
      <c r="G28" s="107"/>
      <c r="H28" s="8" t="s">
        <v>737</v>
      </c>
      <c r="I28" s="8" t="s">
        <v>301</v>
      </c>
      <c r="J28" s="7"/>
      <c r="K28" s="7"/>
      <c r="L28" s="6" t="s">
        <v>300</v>
      </c>
    </row>
    <row r="29" spans="1:12">
      <c r="A29" s="122"/>
      <c r="B29" s="114"/>
      <c r="C29" s="128"/>
      <c r="D29" s="114"/>
      <c r="E29" s="107"/>
      <c r="F29" s="10" t="s">
        <v>718</v>
      </c>
      <c r="G29" s="107"/>
      <c r="H29" s="8" t="s">
        <v>736</v>
      </c>
      <c r="I29" s="8" t="s">
        <v>298</v>
      </c>
      <c r="J29" s="7"/>
      <c r="K29" s="7"/>
      <c r="L29" s="6" t="s">
        <v>297</v>
      </c>
    </row>
    <row r="30" spans="1:12">
      <c r="A30" s="122"/>
      <c r="B30" s="114"/>
      <c r="C30" s="128"/>
      <c r="D30" s="114"/>
      <c r="E30" s="107"/>
      <c r="F30" s="10" t="s">
        <v>718</v>
      </c>
      <c r="G30" s="107"/>
      <c r="H30" s="8" t="s">
        <v>735</v>
      </c>
      <c r="I30" s="8" t="s">
        <v>295</v>
      </c>
      <c r="J30" s="7"/>
      <c r="K30" s="7"/>
      <c r="L30" s="6" t="s">
        <v>294</v>
      </c>
    </row>
    <row r="31" spans="1:12">
      <c r="A31" s="122"/>
      <c r="B31" s="114"/>
      <c r="C31" s="128"/>
      <c r="D31" s="114"/>
      <c r="E31" s="107"/>
      <c r="F31" s="10" t="s">
        <v>718</v>
      </c>
      <c r="G31" s="107"/>
      <c r="H31" s="8" t="s">
        <v>734</v>
      </c>
      <c r="I31" s="8" t="s">
        <v>292</v>
      </c>
      <c r="J31" s="7"/>
      <c r="K31" s="7"/>
      <c r="L31" s="6" t="s">
        <v>291</v>
      </c>
    </row>
    <row r="32" spans="1:12">
      <c r="A32" s="122"/>
      <c r="B32" s="114"/>
      <c r="C32" s="128"/>
      <c r="D32" s="114"/>
      <c r="E32" s="107"/>
      <c r="F32" s="10" t="s">
        <v>718</v>
      </c>
      <c r="G32" s="107"/>
      <c r="H32" s="8" t="s">
        <v>733</v>
      </c>
      <c r="I32" s="8" t="s">
        <v>288</v>
      </c>
      <c r="J32" s="7"/>
      <c r="K32" s="7"/>
      <c r="L32" s="6" t="s">
        <v>287</v>
      </c>
    </row>
    <row r="33" spans="1:12">
      <c r="A33" s="122"/>
      <c r="B33" s="114"/>
      <c r="C33" s="128"/>
      <c r="D33" s="114"/>
      <c r="E33" s="107"/>
      <c r="F33" s="10" t="s">
        <v>718</v>
      </c>
      <c r="G33" s="107"/>
      <c r="H33" s="8" t="s">
        <v>732</v>
      </c>
      <c r="I33" s="8" t="s">
        <v>731</v>
      </c>
      <c r="J33" s="8"/>
      <c r="K33" s="8"/>
      <c r="L33" s="8" t="s">
        <v>731</v>
      </c>
    </row>
    <row r="34" spans="1:12">
      <c r="A34" s="122"/>
      <c r="B34" s="114"/>
      <c r="C34" s="128"/>
      <c r="D34" s="114"/>
      <c r="E34" s="107"/>
      <c r="F34" s="10" t="s">
        <v>718</v>
      </c>
      <c r="G34" s="107"/>
      <c r="H34" s="8" t="s">
        <v>730</v>
      </c>
      <c r="I34" s="8" t="s">
        <v>729</v>
      </c>
      <c r="J34" s="8"/>
      <c r="K34" s="8"/>
      <c r="L34" s="8"/>
    </row>
    <row r="35" spans="1:12">
      <c r="A35" s="122"/>
      <c r="B35" s="114"/>
      <c r="C35" s="128"/>
      <c r="D35" s="114"/>
      <c r="E35" s="107"/>
      <c r="F35" s="10" t="s">
        <v>718</v>
      </c>
      <c r="G35" s="107"/>
      <c r="H35" s="8" t="s">
        <v>728</v>
      </c>
      <c r="I35" s="8" t="s">
        <v>727</v>
      </c>
      <c r="J35" s="8"/>
      <c r="K35" s="8"/>
      <c r="L35" s="8"/>
    </row>
    <row r="36" spans="1:12">
      <c r="A36" s="122"/>
      <c r="B36" s="114"/>
      <c r="C36" s="128"/>
      <c r="D36" s="114"/>
      <c r="E36" s="107"/>
      <c r="F36" s="10" t="s">
        <v>718</v>
      </c>
      <c r="G36" s="107"/>
      <c r="H36" s="8" t="s">
        <v>726</v>
      </c>
      <c r="I36" s="8" t="s">
        <v>725</v>
      </c>
      <c r="J36" s="8"/>
      <c r="K36" s="8"/>
      <c r="L36" s="8"/>
    </row>
    <row r="37" spans="1:12">
      <c r="A37" s="122"/>
      <c r="B37" s="114"/>
      <c r="C37" s="128"/>
      <c r="D37" s="114"/>
      <c r="E37" s="107"/>
      <c r="F37" s="10" t="s">
        <v>718</v>
      </c>
      <c r="G37" s="107"/>
      <c r="H37" s="8" t="s">
        <v>724</v>
      </c>
      <c r="I37" s="8" t="s">
        <v>723</v>
      </c>
      <c r="J37" s="8"/>
      <c r="K37" s="8"/>
      <c r="L37" s="8"/>
    </row>
    <row r="38" spans="1:12">
      <c r="A38" s="122"/>
      <c r="B38" s="114"/>
      <c r="C38" s="128"/>
      <c r="D38" s="114"/>
      <c r="E38" s="107"/>
      <c r="F38" s="10" t="s">
        <v>718</v>
      </c>
      <c r="G38" s="107"/>
      <c r="H38" s="8" t="s">
        <v>722</v>
      </c>
      <c r="I38" s="8" t="s">
        <v>721</v>
      </c>
      <c r="J38" s="8"/>
      <c r="K38" s="8"/>
      <c r="L38" s="8"/>
    </row>
    <row r="39" spans="1:12">
      <c r="A39" s="122"/>
      <c r="B39" s="114"/>
      <c r="C39" s="128"/>
      <c r="D39" s="114"/>
      <c r="E39" s="107"/>
      <c r="F39" s="10"/>
      <c r="G39" s="107"/>
      <c r="H39" s="8" t="s">
        <v>720</v>
      </c>
      <c r="I39" s="8" t="s">
        <v>719</v>
      </c>
      <c r="J39" s="8"/>
      <c r="K39" s="8"/>
      <c r="L39" s="8"/>
    </row>
    <row r="40" spans="1:12">
      <c r="A40" s="122"/>
      <c r="B40" s="114"/>
      <c r="C40" s="128"/>
      <c r="D40" s="114"/>
      <c r="E40" s="107"/>
      <c r="F40" s="10" t="s">
        <v>718</v>
      </c>
      <c r="G40" s="107"/>
      <c r="H40" s="8" t="s">
        <v>717</v>
      </c>
      <c r="I40" s="8" t="s">
        <v>433</v>
      </c>
      <c r="J40" s="8"/>
      <c r="K40" s="8"/>
      <c r="L40" s="8"/>
    </row>
    <row r="41" spans="1:12">
      <c r="A41" s="122"/>
      <c r="B41" s="114"/>
      <c r="C41" s="128"/>
      <c r="D41" s="114"/>
      <c r="E41" s="107"/>
      <c r="F41" s="10" t="s">
        <v>707</v>
      </c>
      <c r="G41" s="111" t="s">
        <v>286</v>
      </c>
      <c r="H41" s="8" t="s">
        <v>716</v>
      </c>
      <c r="I41" s="8" t="s">
        <v>284</v>
      </c>
      <c r="J41" s="7"/>
      <c r="K41" s="7"/>
      <c r="L41" s="6" t="s">
        <v>283</v>
      </c>
    </row>
    <row r="42" spans="1:12">
      <c r="A42" s="122"/>
      <c r="B42" s="114"/>
      <c r="C42" s="128"/>
      <c r="D42" s="114"/>
      <c r="E42" s="107"/>
      <c r="F42" s="10" t="s">
        <v>707</v>
      </c>
      <c r="G42" s="111"/>
      <c r="H42" s="8" t="s">
        <v>715</v>
      </c>
      <c r="I42" s="8" t="s">
        <v>281</v>
      </c>
      <c r="J42" s="7"/>
      <c r="K42" s="7"/>
      <c r="L42" s="6" t="s">
        <v>280</v>
      </c>
    </row>
    <row r="43" spans="1:12">
      <c r="A43" s="122"/>
      <c r="B43" s="114"/>
      <c r="C43" s="128"/>
      <c r="D43" s="114"/>
      <c r="E43" s="107"/>
      <c r="F43" s="10" t="s">
        <v>707</v>
      </c>
      <c r="G43" s="111"/>
      <c r="H43" s="8" t="s">
        <v>714</v>
      </c>
      <c r="I43" s="8" t="s">
        <v>277</v>
      </c>
      <c r="J43" s="7"/>
      <c r="K43" s="7"/>
      <c r="L43" s="6" t="s">
        <v>276</v>
      </c>
    </row>
    <row r="44" spans="1:12">
      <c r="A44" s="122"/>
      <c r="B44" s="114"/>
      <c r="C44" s="128"/>
      <c r="D44" s="114"/>
      <c r="E44" s="107"/>
      <c r="F44" s="10" t="s">
        <v>707</v>
      </c>
      <c r="G44" s="111"/>
      <c r="H44" s="8" t="s">
        <v>713</v>
      </c>
      <c r="I44" s="8" t="s">
        <v>712</v>
      </c>
      <c r="J44" s="7"/>
      <c r="K44" s="7"/>
      <c r="L44" s="6"/>
    </row>
    <row r="45" spans="1:12">
      <c r="A45" s="122"/>
      <c r="B45" s="114"/>
      <c r="C45" s="128"/>
      <c r="D45" s="114"/>
      <c r="E45" s="107"/>
      <c r="F45" s="10" t="s">
        <v>707</v>
      </c>
      <c r="G45" s="111"/>
      <c r="H45" s="8" t="s">
        <v>711</v>
      </c>
      <c r="I45" s="8" t="s">
        <v>710</v>
      </c>
      <c r="J45" s="7"/>
      <c r="K45" s="7"/>
      <c r="L45" s="6"/>
    </row>
    <row r="46" spans="1:12">
      <c r="A46" s="122"/>
      <c r="B46" s="114"/>
      <c r="C46" s="128"/>
      <c r="D46" s="114"/>
      <c r="E46" s="107"/>
      <c r="F46" s="10" t="s">
        <v>707</v>
      </c>
      <c r="G46" s="111"/>
      <c r="H46" s="8" t="s">
        <v>709</v>
      </c>
      <c r="I46" s="8" t="s">
        <v>708</v>
      </c>
      <c r="J46" s="7"/>
      <c r="K46" s="7"/>
      <c r="L46" s="6"/>
    </row>
    <row r="47" spans="1:12">
      <c r="A47" s="122"/>
      <c r="B47" s="114"/>
      <c r="C47" s="128"/>
      <c r="D47" s="114"/>
      <c r="E47" s="107"/>
      <c r="F47" s="10" t="s">
        <v>707</v>
      </c>
      <c r="G47" s="111"/>
      <c r="H47" s="8"/>
      <c r="I47" s="8"/>
      <c r="J47" s="7"/>
      <c r="K47" s="7"/>
      <c r="L47" s="6"/>
    </row>
    <row r="48" spans="1:12">
      <c r="A48" s="122"/>
      <c r="B48" s="114"/>
      <c r="C48" s="128"/>
      <c r="D48" s="114"/>
      <c r="E48" s="107"/>
      <c r="F48" s="10" t="s">
        <v>702</v>
      </c>
      <c r="G48" s="111" t="s">
        <v>275</v>
      </c>
      <c r="H48" s="8" t="s">
        <v>706</v>
      </c>
      <c r="I48" s="8" t="s">
        <v>273</v>
      </c>
      <c r="J48" s="7"/>
      <c r="K48" s="7"/>
      <c r="L48" s="6" t="s">
        <v>272</v>
      </c>
    </row>
    <row r="49" spans="1:12">
      <c r="A49" s="122"/>
      <c r="B49" s="114"/>
      <c r="C49" s="128"/>
      <c r="D49" s="114"/>
      <c r="E49" s="107"/>
      <c r="F49" s="10" t="s">
        <v>702</v>
      </c>
      <c r="G49" s="111"/>
      <c r="H49" s="8" t="s">
        <v>705</v>
      </c>
      <c r="I49" s="8" t="s">
        <v>269</v>
      </c>
      <c r="J49" s="7"/>
      <c r="K49" s="7"/>
      <c r="L49" s="6" t="s">
        <v>268</v>
      </c>
    </row>
    <row r="50" spans="1:12">
      <c r="A50" s="122"/>
      <c r="B50" s="114"/>
      <c r="C50" s="128"/>
      <c r="D50" s="114"/>
      <c r="E50" s="107"/>
      <c r="F50" s="10" t="s">
        <v>702</v>
      </c>
      <c r="G50" s="111"/>
      <c r="H50" s="8" t="s">
        <v>704</v>
      </c>
      <c r="I50" s="8" t="s">
        <v>703</v>
      </c>
      <c r="J50" s="7"/>
      <c r="K50" s="7"/>
      <c r="L50" s="6"/>
    </row>
    <row r="51" spans="1:12">
      <c r="A51" s="122"/>
      <c r="B51" s="114"/>
      <c r="C51" s="128"/>
      <c r="D51" s="114"/>
      <c r="E51" s="107"/>
      <c r="F51" s="10" t="s">
        <v>702</v>
      </c>
      <c r="G51" s="111"/>
      <c r="H51" s="8" t="s">
        <v>701</v>
      </c>
      <c r="I51" s="8" t="s">
        <v>700</v>
      </c>
      <c r="J51" s="7"/>
      <c r="K51" s="7"/>
      <c r="L51" s="6"/>
    </row>
    <row r="52" spans="1:12">
      <c r="A52" s="122"/>
      <c r="B52" s="114"/>
      <c r="C52" s="128"/>
      <c r="D52" s="114"/>
      <c r="E52" s="107"/>
      <c r="F52" s="10" t="s">
        <v>698</v>
      </c>
      <c r="G52" s="111" t="s">
        <v>267</v>
      </c>
      <c r="H52" s="8" t="s">
        <v>699</v>
      </c>
      <c r="I52" s="8" t="s">
        <v>265</v>
      </c>
      <c r="J52" s="7"/>
      <c r="K52" s="7"/>
      <c r="L52" s="6" t="s">
        <v>264</v>
      </c>
    </row>
    <row r="53" spans="1:12">
      <c r="A53" s="122"/>
      <c r="B53" s="114"/>
      <c r="C53" s="128"/>
      <c r="D53" s="114"/>
      <c r="E53" s="107"/>
      <c r="F53" s="10" t="s">
        <v>698</v>
      </c>
      <c r="G53" s="111"/>
      <c r="H53" s="8" t="s">
        <v>697</v>
      </c>
      <c r="I53" s="8" t="s">
        <v>261</v>
      </c>
      <c r="J53" s="7"/>
      <c r="K53" s="7"/>
      <c r="L53" s="6" t="s">
        <v>260</v>
      </c>
    </row>
    <row r="54" spans="1:12">
      <c r="A54" s="122"/>
      <c r="B54" s="114"/>
      <c r="C54" s="128"/>
      <c r="D54" s="114"/>
      <c r="E54" s="107"/>
      <c r="F54" s="10" t="s">
        <v>690</v>
      </c>
      <c r="G54" s="111" t="s">
        <v>259</v>
      </c>
      <c r="H54" s="8" t="s">
        <v>696</v>
      </c>
      <c r="I54" s="8" t="s">
        <v>257</v>
      </c>
      <c r="J54" s="7"/>
      <c r="K54" s="7"/>
      <c r="L54" s="6" t="s">
        <v>256</v>
      </c>
    </row>
    <row r="55" spans="1:12">
      <c r="A55" s="122"/>
      <c r="B55" s="114"/>
      <c r="C55" s="128"/>
      <c r="D55" s="114"/>
      <c r="E55" s="107"/>
      <c r="F55" s="10" t="s">
        <v>690</v>
      </c>
      <c r="G55" s="111"/>
      <c r="H55" s="8" t="s">
        <v>695</v>
      </c>
      <c r="I55" s="8" t="s">
        <v>694</v>
      </c>
      <c r="J55" s="7"/>
      <c r="K55" s="7"/>
      <c r="L55" s="6" t="s">
        <v>253</v>
      </c>
    </row>
    <row r="56" spans="1:12">
      <c r="A56" s="122"/>
      <c r="B56" s="114"/>
      <c r="C56" s="128"/>
      <c r="D56" s="114"/>
      <c r="E56" s="107"/>
      <c r="F56" s="10" t="s">
        <v>690</v>
      </c>
      <c r="G56" s="111"/>
      <c r="H56" s="8" t="s">
        <v>693</v>
      </c>
      <c r="I56" s="8" t="s">
        <v>692</v>
      </c>
      <c r="J56" s="7"/>
      <c r="K56" s="7"/>
      <c r="L56" s="6"/>
    </row>
    <row r="57" spans="1:12">
      <c r="A57" s="122"/>
      <c r="B57" s="114"/>
      <c r="C57" s="128"/>
      <c r="D57" s="114"/>
      <c r="E57" s="107"/>
      <c r="F57" s="10" t="s">
        <v>690</v>
      </c>
      <c r="G57" s="111"/>
      <c r="H57" s="8" t="s">
        <v>691</v>
      </c>
      <c r="I57" s="8" t="s">
        <v>251</v>
      </c>
      <c r="J57" s="7"/>
      <c r="K57" s="7"/>
      <c r="L57" s="6" t="s">
        <v>250</v>
      </c>
    </row>
    <row r="58" spans="1:12">
      <c r="A58" s="122"/>
      <c r="B58" s="114"/>
      <c r="C58" s="128"/>
      <c r="D58" s="114"/>
      <c r="E58" s="107"/>
      <c r="F58" s="10" t="s">
        <v>690</v>
      </c>
      <c r="G58" s="111"/>
      <c r="H58" s="8" t="s">
        <v>689</v>
      </c>
      <c r="I58" s="8" t="s">
        <v>688</v>
      </c>
      <c r="J58" s="7"/>
      <c r="K58" s="7"/>
      <c r="L58" s="6"/>
    </row>
    <row r="59" spans="1:12">
      <c r="A59" s="122"/>
      <c r="B59" s="114"/>
      <c r="C59" s="128"/>
      <c r="D59" s="114"/>
      <c r="E59" s="107"/>
      <c r="F59" s="10" t="s">
        <v>673</v>
      </c>
      <c r="G59" s="105" t="s">
        <v>246</v>
      </c>
      <c r="H59" s="8" t="s">
        <v>687</v>
      </c>
      <c r="I59" s="8" t="s">
        <v>244</v>
      </c>
      <c r="J59" s="7"/>
      <c r="K59" s="7"/>
      <c r="L59" s="6" t="s">
        <v>243</v>
      </c>
    </row>
    <row r="60" spans="1:12">
      <c r="A60" s="122"/>
      <c r="B60" s="114"/>
      <c r="C60" s="128"/>
      <c r="D60" s="114"/>
      <c r="E60" s="107"/>
      <c r="F60" s="10" t="s">
        <v>673</v>
      </c>
      <c r="G60" s="107"/>
      <c r="H60" s="8" t="s">
        <v>686</v>
      </c>
      <c r="I60" s="8" t="s">
        <v>241</v>
      </c>
      <c r="J60" s="7"/>
      <c r="K60" s="7"/>
      <c r="L60" s="6" t="s">
        <v>240</v>
      </c>
    </row>
    <row r="61" spans="1:12">
      <c r="A61" s="122"/>
      <c r="B61" s="114"/>
      <c r="C61" s="128"/>
      <c r="D61" s="114"/>
      <c r="E61" s="107"/>
      <c r="F61" s="10" t="s">
        <v>673</v>
      </c>
      <c r="G61" s="107"/>
      <c r="H61" s="8" t="s">
        <v>685</v>
      </c>
      <c r="I61" s="8" t="s">
        <v>238</v>
      </c>
      <c r="J61" s="7"/>
      <c r="K61" s="7"/>
      <c r="L61" s="6" t="s">
        <v>237</v>
      </c>
    </row>
    <row r="62" spans="1:12">
      <c r="A62" s="122"/>
      <c r="B62" s="114"/>
      <c r="C62" s="128"/>
      <c r="D62" s="114"/>
      <c r="E62" s="107"/>
      <c r="F62" s="10" t="s">
        <v>673</v>
      </c>
      <c r="G62" s="107"/>
      <c r="H62" s="8" t="s">
        <v>684</v>
      </c>
      <c r="I62" s="8" t="s">
        <v>683</v>
      </c>
      <c r="J62" s="7"/>
      <c r="K62" s="7"/>
      <c r="L62" s="6" t="s">
        <v>231</v>
      </c>
    </row>
    <row r="63" spans="1:12">
      <c r="A63" s="122"/>
      <c r="B63" s="114"/>
      <c r="C63" s="128"/>
      <c r="D63" s="114"/>
      <c r="E63" s="107"/>
      <c r="F63" s="10" t="s">
        <v>673</v>
      </c>
      <c r="G63" s="107"/>
      <c r="H63" s="8" t="s">
        <v>682</v>
      </c>
      <c r="I63" s="8" t="s">
        <v>681</v>
      </c>
      <c r="J63" s="7"/>
      <c r="K63" s="7"/>
      <c r="L63" s="6" t="s">
        <v>681</v>
      </c>
    </row>
    <row r="64" spans="1:12">
      <c r="A64" s="122"/>
      <c r="B64" s="114"/>
      <c r="C64" s="128"/>
      <c r="D64" s="114"/>
      <c r="E64" s="107"/>
      <c r="F64" s="10" t="s">
        <v>673</v>
      </c>
      <c r="G64" s="107"/>
      <c r="H64" s="8" t="s">
        <v>680</v>
      </c>
      <c r="I64" s="8" t="s">
        <v>232</v>
      </c>
      <c r="J64" s="7"/>
      <c r="K64" s="7"/>
      <c r="L64" s="6"/>
    </row>
    <row r="65" spans="1:12">
      <c r="A65" s="122"/>
      <c r="B65" s="114"/>
      <c r="C65" s="128"/>
      <c r="D65" s="114"/>
      <c r="E65" s="107"/>
      <c r="F65" s="10" t="s">
        <v>673</v>
      </c>
      <c r="G65" s="107"/>
      <c r="H65" s="8" t="s">
        <v>679</v>
      </c>
      <c r="I65" s="8" t="s">
        <v>678</v>
      </c>
      <c r="J65" s="7"/>
      <c r="K65" s="7"/>
      <c r="L65" s="6"/>
    </row>
    <row r="66" spans="1:12">
      <c r="A66" s="122"/>
      <c r="B66" s="114"/>
      <c r="C66" s="128"/>
      <c r="D66" s="114"/>
      <c r="E66" s="107"/>
      <c r="F66" s="10" t="s">
        <v>673</v>
      </c>
      <c r="G66" s="107"/>
      <c r="H66" s="8" t="s">
        <v>677</v>
      </c>
      <c r="I66" s="8" t="s">
        <v>676</v>
      </c>
      <c r="J66" s="7"/>
      <c r="K66" s="7"/>
      <c r="L66" s="6"/>
    </row>
    <row r="67" spans="1:12">
      <c r="A67" s="122"/>
      <c r="B67" s="114"/>
      <c r="C67" s="128"/>
      <c r="D67" s="114"/>
      <c r="E67" s="107"/>
      <c r="F67" s="10" t="s">
        <v>673</v>
      </c>
      <c r="G67" s="107"/>
      <c r="H67" s="8" t="s">
        <v>675</v>
      </c>
      <c r="I67" s="8" t="s">
        <v>674</v>
      </c>
      <c r="J67" s="7"/>
      <c r="K67" s="7"/>
      <c r="L67" s="6"/>
    </row>
    <row r="68" spans="1:12">
      <c r="A68" s="122"/>
      <c r="B68" s="114"/>
      <c r="C68" s="128"/>
      <c r="D68" s="114"/>
      <c r="E68" s="107"/>
      <c r="F68" s="10" t="s">
        <v>673</v>
      </c>
      <c r="G68" s="106"/>
      <c r="H68" s="8" t="s">
        <v>672</v>
      </c>
      <c r="I68" s="8" t="s">
        <v>371</v>
      </c>
      <c r="J68" s="7"/>
      <c r="K68" s="7"/>
      <c r="L68" s="6"/>
    </row>
    <row r="69" spans="1:12">
      <c r="A69" s="122"/>
      <c r="B69" s="114"/>
      <c r="C69" s="128"/>
      <c r="D69" s="114"/>
      <c r="E69" s="107"/>
      <c r="F69" s="10" t="s">
        <v>658</v>
      </c>
      <c r="G69" s="105" t="s">
        <v>230</v>
      </c>
      <c r="H69" s="8" t="s">
        <v>671</v>
      </c>
      <c r="I69" s="8" t="s">
        <v>228</v>
      </c>
      <c r="J69" s="7"/>
      <c r="K69" s="7"/>
      <c r="L69" s="6" t="s">
        <v>892</v>
      </c>
    </row>
    <row r="70" spans="1:12">
      <c r="A70" s="122"/>
      <c r="B70" s="114"/>
      <c r="C70" s="128"/>
      <c r="D70" s="114"/>
      <c r="E70" s="107"/>
      <c r="F70" s="10" t="s">
        <v>658</v>
      </c>
      <c r="G70" s="107"/>
      <c r="H70" s="8" t="s">
        <v>670</v>
      </c>
      <c r="I70" s="8" t="s">
        <v>225</v>
      </c>
      <c r="J70" s="7"/>
      <c r="K70" s="7"/>
      <c r="L70" s="6" t="s">
        <v>224</v>
      </c>
    </row>
    <row r="71" spans="1:12">
      <c r="A71" s="122"/>
      <c r="B71" s="114"/>
      <c r="C71" s="128"/>
      <c r="D71" s="114"/>
      <c r="E71" s="107"/>
      <c r="F71" s="10" t="s">
        <v>658</v>
      </c>
      <c r="G71" s="107"/>
      <c r="H71" s="8" t="s">
        <v>669</v>
      </c>
      <c r="I71" s="8" t="s">
        <v>222</v>
      </c>
      <c r="J71" s="7"/>
      <c r="K71" s="7"/>
      <c r="L71" s="6" t="s">
        <v>221</v>
      </c>
    </row>
    <row r="72" spans="1:12">
      <c r="A72" s="122"/>
      <c r="B72" s="114"/>
      <c r="C72" s="128"/>
      <c r="D72" s="114"/>
      <c r="E72" s="107"/>
      <c r="F72" s="10" t="s">
        <v>658</v>
      </c>
      <c r="G72" s="107"/>
      <c r="H72" s="8" t="s">
        <v>668</v>
      </c>
      <c r="I72" s="8" t="s">
        <v>219</v>
      </c>
      <c r="J72" s="7"/>
      <c r="K72" s="7"/>
      <c r="L72" s="6" t="s">
        <v>216</v>
      </c>
    </row>
    <row r="73" spans="1:12">
      <c r="A73" s="122"/>
      <c r="B73" s="114"/>
      <c r="C73" s="128"/>
      <c r="D73" s="114"/>
      <c r="E73" s="107"/>
      <c r="F73" s="10" t="s">
        <v>658</v>
      </c>
      <c r="G73" s="107"/>
      <c r="H73" s="8" t="s">
        <v>667</v>
      </c>
      <c r="I73" s="8" t="s">
        <v>666</v>
      </c>
      <c r="J73" s="7"/>
      <c r="K73" s="7"/>
      <c r="L73" s="6" t="s">
        <v>665</v>
      </c>
    </row>
    <row r="74" spans="1:12">
      <c r="A74" s="122"/>
      <c r="B74" s="114"/>
      <c r="C74" s="128"/>
      <c r="D74" s="114"/>
      <c r="E74" s="107"/>
      <c r="F74" s="10" t="s">
        <v>658</v>
      </c>
      <c r="G74" s="107"/>
      <c r="H74" s="8" t="s">
        <v>664</v>
      </c>
      <c r="I74" s="8" t="s">
        <v>663</v>
      </c>
      <c r="J74" s="8"/>
      <c r="K74" s="8"/>
      <c r="L74" s="8" t="s">
        <v>663</v>
      </c>
    </row>
    <row r="75" spans="1:12">
      <c r="A75" s="122"/>
      <c r="B75" s="114"/>
      <c r="C75" s="128"/>
      <c r="D75" s="114"/>
      <c r="E75" s="107"/>
      <c r="F75" s="10" t="s">
        <v>658</v>
      </c>
      <c r="G75" s="107"/>
      <c r="H75" s="8" t="s">
        <v>662</v>
      </c>
      <c r="I75" s="8" t="s">
        <v>661</v>
      </c>
      <c r="J75" s="8"/>
      <c r="K75" s="8"/>
      <c r="L75" s="8"/>
    </row>
    <row r="76" spans="1:12">
      <c r="A76" s="122"/>
      <c r="B76" s="114"/>
      <c r="C76" s="128"/>
      <c r="D76" s="114"/>
      <c r="E76" s="107"/>
      <c r="F76" s="10" t="s">
        <v>658</v>
      </c>
      <c r="G76" s="107"/>
      <c r="H76" s="8" t="s">
        <v>660</v>
      </c>
      <c r="I76" s="8" t="s">
        <v>659</v>
      </c>
      <c r="J76" s="8"/>
      <c r="K76" s="8"/>
      <c r="L76" s="8"/>
    </row>
    <row r="77" spans="1:12">
      <c r="A77" s="122"/>
      <c r="B77" s="114"/>
      <c r="C77" s="128"/>
      <c r="D77" s="114"/>
      <c r="E77" s="107"/>
      <c r="F77" s="10" t="s">
        <v>658</v>
      </c>
      <c r="G77" s="106"/>
      <c r="H77" s="8" t="s">
        <v>657</v>
      </c>
      <c r="I77" s="8" t="s">
        <v>407</v>
      </c>
      <c r="J77" s="8"/>
      <c r="K77" s="8"/>
      <c r="L77" s="8" t="s">
        <v>407</v>
      </c>
    </row>
    <row r="78" spans="1:12">
      <c r="A78" s="122"/>
      <c r="B78" s="114"/>
      <c r="C78" s="128"/>
      <c r="D78" s="114"/>
      <c r="E78" s="107"/>
      <c r="F78" s="10" t="s">
        <v>648</v>
      </c>
      <c r="G78" s="105" t="s">
        <v>212</v>
      </c>
      <c r="H78" s="8" t="s">
        <v>656</v>
      </c>
      <c r="I78" s="8" t="s">
        <v>210</v>
      </c>
      <c r="J78" s="8"/>
      <c r="K78" s="8"/>
      <c r="L78" s="8" t="s">
        <v>209</v>
      </c>
    </row>
    <row r="79" spans="1:12">
      <c r="A79" s="122"/>
      <c r="B79" s="114"/>
      <c r="C79" s="128"/>
      <c r="D79" s="114"/>
      <c r="E79" s="107"/>
      <c r="F79" s="10" t="s">
        <v>648</v>
      </c>
      <c r="G79" s="107"/>
      <c r="H79" s="8" t="s">
        <v>655</v>
      </c>
      <c r="I79" s="8" t="s">
        <v>207</v>
      </c>
      <c r="J79" s="8"/>
      <c r="K79" s="8"/>
      <c r="L79" s="8" t="s">
        <v>206</v>
      </c>
    </row>
    <row r="80" spans="1:12">
      <c r="A80" s="122"/>
      <c r="B80" s="114"/>
      <c r="C80" s="128"/>
      <c r="D80" s="114"/>
      <c r="E80" s="107"/>
      <c r="F80" s="10" t="s">
        <v>648</v>
      </c>
      <c r="G80" s="107"/>
      <c r="H80" s="8" t="s">
        <v>654</v>
      </c>
      <c r="I80" s="8" t="s">
        <v>203</v>
      </c>
      <c r="J80" s="8"/>
      <c r="K80" s="8"/>
      <c r="L80" s="8" t="s">
        <v>202</v>
      </c>
    </row>
    <row r="81" spans="1:12">
      <c r="A81" s="122"/>
      <c r="B81" s="114"/>
      <c r="C81" s="128"/>
      <c r="D81" s="114"/>
      <c r="E81" s="107"/>
      <c r="F81" s="10" t="s">
        <v>648</v>
      </c>
      <c r="G81" s="107"/>
      <c r="H81" s="8" t="s">
        <v>653</v>
      </c>
      <c r="I81" s="8" t="s">
        <v>652</v>
      </c>
      <c r="J81" s="8"/>
      <c r="K81" s="8"/>
      <c r="L81" s="8" t="s">
        <v>651</v>
      </c>
    </row>
    <row r="82" spans="1:12">
      <c r="A82" s="122"/>
      <c r="B82" s="114"/>
      <c r="C82" s="128"/>
      <c r="D82" s="114"/>
      <c r="E82" s="107"/>
      <c r="F82" s="10" t="s">
        <v>648</v>
      </c>
      <c r="G82" s="107"/>
      <c r="H82" s="8" t="s">
        <v>650</v>
      </c>
      <c r="I82" s="8" t="s">
        <v>649</v>
      </c>
      <c r="J82" s="8"/>
      <c r="K82" s="8"/>
      <c r="L82" s="8" t="s">
        <v>649</v>
      </c>
    </row>
    <row r="83" spans="1:12">
      <c r="A83" s="122"/>
      <c r="B83" s="114"/>
      <c r="C83" s="128"/>
      <c r="D83" s="114"/>
      <c r="E83" s="107"/>
      <c r="F83" s="10" t="s">
        <v>648</v>
      </c>
      <c r="G83" s="106"/>
      <c r="H83" s="8" t="s">
        <v>647</v>
      </c>
      <c r="I83" s="8" t="s">
        <v>646</v>
      </c>
      <c r="J83" s="8"/>
      <c r="K83" s="8"/>
      <c r="L83" s="8"/>
    </row>
    <row r="84" spans="1:12">
      <c r="A84" s="122"/>
      <c r="B84" s="114"/>
      <c r="C84" s="128"/>
      <c r="D84" s="114"/>
      <c r="E84" s="107"/>
      <c r="F84" s="10" t="s">
        <v>643</v>
      </c>
      <c r="G84" s="111" t="s">
        <v>201</v>
      </c>
      <c r="H84" s="8" t="s">
        <v>645</v>
      </c>
      <c r="I84" s="8" t="s">
        <v>199</v>
      </c>
      <c r="J84" s="7"/>
      <c r="K84" s="7"/>
      <c r="L84" s="6" t="s">
        <v>198</v>
      </c>
    </row>
    <row r="85" spans="1:12">
      <c r="A85" s="122"/>
      <c r="B85" s="114"/>
      <c r="C85" s="128"/>
      <c r="D85" s="114"/>
      <c r="E85" s="107"/>
      <c r="F85" s="10" t="s">
        <v>643</v>
      </c>
      <c r="G85" s="111"/>
      <c r="H85" s="8" t="s">
        <v>644</v>
      </c>
      <c r="I85" s="8" t="s">
        <v>195</v>
      </c>
      <c r="J85" s="7"/>
      <c r="K85" s="7"/>
      <c r="L85" s="6" t="s">
        <v>194</v>
      </c>
    </row>
    <row r="86" spans="1:12">
      <c r="A86" s="122"/>
      <c r="B86" s="114"/>
      <c r="C86" s="128"/>
      <c r="D86" s="114"/>
      <c r="E86" s="107"/>
      <c r="F86" s="10" t="s">
        <v>643</v>
      </c>
      <c r="G86" s="111"/>
      <c r="H86" s="8" t="s">
        <v>642</v>
      </c>
      <c r="I86" s="8" t="s">
        <v>641</v>
      </c>
      <c r="J86" s="7"/>
      <c r="K86" s="7"/>
      <c r="L86" s="6"/>
    </row>
    <row r="87" spans="1:12">
      <c r="A87" s="122"/>
      <c r="B87" s="114"/>
      <c r="C87" s="128"/>
      <c r="D87" s="114"/>
      <c r="E87" s="107"/>
      <c r="F87" s="10" t="s">
        <v>634</v>
      </c>
      <c r="G87" s="105" t="s">
        <v>193</v>
      </c>
      <c r="H87" s="8" t="s">
        <v>640</v>
      </c>
      <c r="I87" s="8" t="s">
        <v>191</v>
      </c>
      <c r="J87" s="7"/>
      <c r="K87" s="7"/>
      <c r="L87" s="6" t="s">
        <v>190</v>
      </c>
    </row>
    <row r="88" spans="1:12">
      <c r="A88" s="122"/>
      <c r="B88" s="114"/>
      <c r="C88" s="128"/>
      <c r="D88" s="114"/>
      <c r="E88" s="107"/>
      <c r="F88" s="10" t="s">
        <v>634</v>
      </c>
      <c r="G88" s="107"/>
      <c r="H88" s="8" t="s">
        <v>639</v>
      </c>
      <c r="I88" s="8" t="s">
        <v>188</v>
      </c>
      <c r="J88" s="7"/>
      <c r="K88" s="7"/>
      <c r="L88" s="6" t="s">
        <v>187</v>
      </c>
    </row>
    <row r="89" spans="1:12">
      <c r="A89" s="122"/>
      <c r="B89" s="114"/>
      <c r="C89" s="128"/>
      <c r="D89" s="114"/>
      <c r="E89" s="107"/>
      <c r="F89" s="10" t="s">
        <v>634</v>
      </c>
      <c r="G89" s="107"/>
      <c r="H89" s="8" t="s">
        <v>638</v>
      </c>
      <c r="I89" s="8" t="s">
        <v>184</v>
      </c>
      <c r="J89" s="7"/>
      <c r="K89" s="7"/>
      <c r="L89" s="6" t="s">
        <v>183</v>
      </c>
    </row>
    <row r="90" spans="1:12">
      <c r="A90" s="122"/>
      <c r="B90" s="114"/>
      <c r="C90" s="128"/>
      <c r="D90" s="114"/>
      <c r="E90" s="107"/>
      <c r="F90" s="10" t="s">
        <v>634</v>
      </c>
      <c r="G90" s="107"/>
      <c r="H90" s="8" t="s">
        <v>637</v>
      </c>
      <c r="I90" s="8" t="s">
        <v>636</v>
      </c>
      <c r="J90" s="7"/>
      <c r="K90" s="7"/>
      <c r="L90" s="6" t="s">
        <v>635</v>
      </c>
    </row>
    <row r="91" spans="1:12">
      <c r="A91" s="122"/>
      <c r="B91" s="114"/>
      <c r="C91" s="128"/>
      <c r="D91" s="114"/>
      <c r="E91" s="107"/>
      <c r="F91" s="10" t="s">
        <v>634</v>
      </c>
      <c r="G91" s="106"/>
      <c r="H91" s="8" t="s">
        <v>633</v>
      </c>
      <c r="I91" s="8" t="s">
        <v>389</v>
      </c>
      <c r="J91" s="7"/>
      <c r="K91" s="7"/>
      <c r="L91" s="6"/>
    </row>
    <row r="92" spans="1:12">
      <c r="A92" s="122"/>
      <c r="B92" s="114"/>
      <c r="C92" s="128"/>
      <c r="D92" s="114"/>
      <c r="E92" s="107"/>
      <c r="F92" s="10" t="s">
        <v>625</v>
      </c>
      <c r="G92" s="105" t="s">
        <v>632</v>
      </c>
      <c r="H92" s="8" t="s">
        <v>631</v>
      </c>
      <c r="I92" s="8" t="s">
        <v>630</v>
      </c>
      <c r="J92" s="7"/>
      <c r="K92" s="7"/>
      <c r="L92" s="6"/>
    </row>
    <row r="93" spans="1:12">
      <c r="A93" s="122"/>
      <c r="B93" s="114"/>
      <c r="C93" s="128"/>
      <c r="D93" s="114"/>
      <c r="E93" s="107"/>
      <c r="F93" s="10" t="s">
        <v>625</v>
      </c>
      <c r="G93" s="107"/>
      <c r="H93" s="8" t="s">
        <v>629</v>
      </c>
      <c r="I93" s="8" t="s">
        <v>628</v>
      </c>
      <c r="J93" s="7"/>
      <c r="K93" s="7"/>
      <c r="L93" s="6"/>
    </row>
    <row r="94" spans="1:12">
      <c r="A94" s="122"/>
      <c r="B94" s="114"/>
      <c r="C94" s="128"/>
      <c r="D94" s="114"/>
      <c r="E94" s="107"/>
      <c r="F94" s="10" t="s">
        <v>625</v>
      </c>
      <c r="G94" s="107"/>
      <c r="H94" s="8" t="s">
        <v>627</v>
      </c>
      <c r="I94" s="8" t="s">
        <v>626</v>
      </c>
      <c r="J94" s="7"/>
      <c r="K94" s="7"/>
      <c r="L94" s="6"/>
    </row>
    <row r="95" spans="1:12">
      <c r="A95" s="122"/>
      <c r="B95" s="114"/>
      <c r="C95" s="128"/>
      <c r="D95" s="114"/>
      <c r="E95" s="107"/>
      <c r="F95" s="10" t="s">
        <v>625</v>
      </c>
      <c r="G95" s="106"/>
      <c r="H95" s="8" t="s">
        <v>624</v>
      </c>
      <c r="I95" s="8" t="s">
        <v>623</v>
      </c>
      <c r="J95" s="7"/>
      <c r="K95" s="7"/>
      <c r="L95" s="6"/>
    </row>
    <row r="96" spans="1:12">
      <c r="A96" s="122"/>
      <c r="B96" s="114"/>
      <c r="C96" s="128"/>
      <c r="D96" s="114"/>
      <c r="E96" s="107"/>
      <c r="F96" s="10" t="s">
        <v>618</v>
      </c>
      <c r="G96" s="105" t="s">
        <v>181</v>
      </c>
      <c r="H96" s="8" t="s">
        <v>622</v>
      </c>
      <c r="I96" s="8" t="s">
        <v>621</v>
      </c>
      <c r="J96" s="7"/>
      <c r="K96" s="7"/>
      <c r="L96" s="6" t="s">
        <v>180</v>
      </c>
    </row>
    <row r="97" spans="1:12">
      <c r="A97" s="122"/>
      <c r="B97" s="114"/>
      <c r="C97" s="128"/>
      <c r="D97" s="114"/>
      <c r="E97" s="107"/>
      <c r="F97" s="10" t="s">
        <v>618</v>
      </c>
      <c r="G97" s="107"/>
      <c r="H97" s="8" t="s">
        <v>620</v>
      </c>
      <c r="I97" s="8" t="s">
        <v>619</v>
      </c>
      <c r="J97" s="7"/>
      <c r="K97" s="7"/>
      <c r="L97" s="6" t="s">
        <v>180</v>
      </c>
    </row>
    <row r="98" spans="1:12">
      <c r="A98" s="122"/>
      <c r="B98" s="114"/>
      <c r="C98" s="128"/>
      <c r="D98" s="114"/>
      <c r="E98" s="107"/>
      <c r="F98" s="10" t="s">
        <v>618</v>
      </c>
      <c r="G98" s="106"/>
      <c r="H98" s="8" t="s">
        <v>617</v>
      </c>
      <c r="I98" s="8" t="s">
        <v>616</v>
      </c>
      <c r="J98" s="7"/>
      <c r="K98" s="7"/>
      <c r="L98" s="6" t="s">
        <v>180</v>
      </c>
    </row>
    <row r="99" spans="1:12">
      <c r="A99" s="122"/>
      <c r="B99" s="114"/>
      <c r="C99" s="128"/>
      <c r="D99" s="114"/>
      <c r="E99" s="107"/>
      <c r="F99" s="10" t="s">
        <v>615</v>
      </c>
      <c r="G99" s="8" t="s">
        <v>614</v>
      </c>
      <c r="H99" s="10" t="s">
        <v>613</v>
      </c>
      <c r="I99" s="8" t="s">
        <v>612</v>
      </c>
      <c r="J99" s="7"/>
      <c r="K99" s="7"/>
      <c r="L99" s="6"/>
    </row>
    <row r="100" spans="1:12">
      <c r="A100" s="122"/>
      <c r="B100" s="114"/>
      <c r="C100" s="128"/>
      <c r="D100" s="114"/>
      <c r="E100" s="107"/>
      <c r="F100" s="10" t="s">
        <v>611</v>
      </c>
      <c r="G100" s="9" t="s">
        <v>177</v>
      </c>
      <c r="H100" s="10" t="s">
        <v>610</v>
      </c>
      <c r="I100" s="8" t="s">
        <v>609</v>
      </c>
      <c r="J100" s="7"/>
      <c r="K100" s="7"/>
      <c r="L100" s="6"/>
    </row>
    <row r="101" spans="1:12">
      <c r="A101" s="122"/>
      <c r="B101" s="115"/>
      <c r="C101" s="112"/>
      <c r="D101" s="115"/>
      <c r="E101" s="106"/>
      <c r="F101" s="10"/>
      <c r="G101" s="8"/>
      <c r="H101" s="10"/>
      <c r="I101" s="8"/>
      <c r="J101" s="7"/>
      <c r="K101" s="7"/>
      <c r="L101" s="6"/>
    </row>
    <row r="102" spans="1:12">
      <c r="A102" s="122"/>
      <c r="B102" s="103" t="s">
        <v>888</v>
      </c>
      <c r="C102" s="127" t="s">
        <v>8</v>
      </c>
      <c r="D102" s="103" t="s">
        <v>608</v>
      </c>
      <c r="E102" s="111" t="s">
        <v>607</v>
      </c>
      <c r="F102" s="10" t="s">
        <v>596</v>
      </c>
      <c r="G102" s="105" t="s">
        <v>606</v>
      </c>
      <c r="H102" s="8" t="s">
        <v>605</v>
      </c>
      <c r="I102" s="8" t="s">
        <v>604</v>
      </c>
      <c r="J102" s="7"/>
      <c r="K102" s="7"/>
      <c r="L102" s="6" t="s">
        <v>603</v>
      </c>
    </row>
    <row r="103" spans="1:12">
      <c r="A103" s="122"/>
      <c r="B103" s="103"/>
      <c r="C103" s="128"/>
      <c r="D103" s="103"/>
      <c r="E103" s="111"/>
      <c r="F103" s="10" t="s">
        <v>596</v>
      </c>
      <c r="G103" s="107"/>
      <c r="H103" s="8" t="s">
        <v>602</v>
      </c>
      <c r="I103" s="8" t="s">
        <v>601</v>
      </c>
      <c r="J103" s="7"/>
      <c r="K103" s="7"/>
      <c r="L103" s="6" t="s">
        <v>600</v>
      </c>
    </row>
    <row r="104" spans="1:12">
      <c r="A104" s="122"/>
      <c r="B104" s="103"/>
      <c r="C104" s="128"/>
      <c r="D104" s="103"/>
      <c r="E104" s="111"/>
      <c r="F104" s="10" t="s">
        <v>596</v>
      </c>
      <c r="G104" s="107"/>
      <c r="H104" s="8" t="s">
        <v>599</v>
      </c>
      <c r="I104" s="8" t="s">
        <v>598</v>
      </c>
      <c r="J104" s="7"/>
      <c r="K104" s="7"/>
      <c r="L104" s="6" t="s">
        <v>597</v>
      </c>
    </row>
    <row r="105" spans="1:12">
      <c r="A105" s="122"/>
      <c r="B105" s="103"/>
      <c r="C105" s="128"/>
      <c r="D105" s="103"/>
      <c r="E105" s="111"/>
      <c r="F105" s="10" t="s">
        <v>596</v>
      </c>
      <c r="G105" s="106"/>
      <c r="H105" s="8" t="s">
        <v>595</v>
      </c>
      <c r="I105" s="8" t="s">
        <v>594</v>
      </c>
      <c r="J105" s="7"/>
      <c r="K105" s="7"/>
      <c r="L105" s="6"/>
    </row>
    <row r="106" spans="1:12">
      <c r="A106" s="122"/>
      <c r="B106" s="103"/>
      <c r="C106" s="128"/>
      <c r="D106" s="103"/>
      <c r="E106" s="111"/>
      <c r="F106" s="10" t="s">
        <v>589</v>
      </c>
      <c r="G106" s="105" t="s">
        <v>593</v>
      </c>
      <c r="H106" s="8" t="s">
        <v>592</v>
      </c>
      <c r="I106" s="8" t="s">
        <v>591</v>
      </c>
      <c r="J106" s="7"/>
      <c r="K106" s="7"/>
      <c r="L106" s="6" t="s">
        <v>590</v>
      </c>
    </row>
    <row r="107" spans="1:12">
      <c r="A107" s="122"/>
      <c r="B107" s="103"/>
      <c r="C107" s="128"/>
      <c r="D107" s="103"/>
      <c r="E107" s="111"/>
      <c r="F107" s="10" t="s">
        <v>589</v>
      </c>
      <c r="G107" s="106"/>
      <c r="H107" s="8" t="s">
        <v>588</v>
      </c>
      <c r="I107" s="8" t="s">
        <v>587</v>
      </c>
      <c r="J107" s="7"/>
      <c r="K107" s="7"/>
      <c r="L107" s="6"/>
    </row>
    <row r="108" spans="1:12">
      <c r="A108" s="122"/>
      <c r="B108" s="103"/>
      <c r="C108" s="128"/>
      <c r="D108" s="103"/>
      <c r="E108" s="111"/>
      <c r="F108" s="10" t="s">
        <v>586</v>
      </c>
      <c r="G108" s="8" t="s">
        <v>585</v>
      </c>
      <c r="H108" s="8" t="s">
        <v>584</v>
      </c>
      <c r="I108" s="8" t="s">
        <v>583</v>
      </c>
      <c r="J108" s="7"/>
      <c r="K108" s="7"/>
      <c r="L108" s="6" t="s">
        <v>582</v>
      </c>
    </row>
    <row r="109" spans="1:12">
      <c r="A109" s="122"/>
      <c r="B109" s="103"/>
      <c r="C109" s="128"/>
      <c r="D109" s="103"/>
      <c r="E109" s="111"/>
      <c r="F109" s="10" t="s">
        <v>581</v>
      </c>
      <c r="G109" s="8" t="s">
        <v>580</v>
      </c>
      <c r="H109" s="8" t="s">
        <v>579</v>
      </c>
      <c r="I109" s="8" t="s">
        <v>578</v>
      </c>
      <c r="J109" s="7"/>
      <c r="K109" s="7"/>
      <c r="L109" s="6"/>
    </row>
    <row r="110" spans="1:12">
      <c r="A110" s="122"/>
      <c r="B110" s="103"/>
      <c r="C110" s="128"/>
      <c r="D110" s="103"/>
      <c r="E110" s="111"/>
      <c r="F110" s="10" t="s">
        <v>577</v>
      </c>
      <c r="G110" s="8" t="s">
        <v>576</v>
      </c>
      <c r="H110" s="8" t="s">
        <v>575</v>
      </c>
      <c r="I110" s="8" t="s">
        <v>574</v>
      </c>
      <c r="J110" s="7"/>
      <c r="K110" s="7"/>
      <c r="L110" s="6"/>
    </row>
    <row r="111" spans="1:12">
      <c r="A111" s="122"/>
      <c r="B111" s="103"/>
      <c r="C111" s="128"/>
      <c r="D111" s="103"/>
      <c r="E111" s="111"/>
      <c r="F111" s="10" t="s">
        <v>568</v>
      </c>
      <c r="G111" s="105" t="s">
        <v>573</v>
      </c>
      <c r="H111" s="8" t="s">
        <v>572</v>
      </c>
      <c r="I111" s="8" t="s">
        <v>571</v>
      </c>
      <c r="J111" s="7"/>
      <c r="K111" s="7"/>
      <c r="L111" s="6"/>
    </row>
    <row r="112" spans="1:12">
      <c r="A112" s="122"/>
      <c r="B112" s="103"/>
      <c r="C112" s="128"/>
      <c r="D112" s="103"/>
      <c r="E112" s="111"/>
      <c r="F112" s="10" t="s">
        <v>568</v>
      </c>
      <c r="G112" s="107"/>
      <c r="H112" s="8" t="s">
        <v>570</v>
      </c>
      <c r="I112" s="8" t="s">
        <v>569</v>
      </c>
      <c r="J112" s="7"/>
      <c r="K112" s="7"/>
      <c r="L112" s="6"/>
    </row>
    <row r="113" spans="1:12">
      <c r="A113" s="122"/>
      <c r="B113" s="103"/>
      <c r="C113" s="112"/>
      <c r="D113" s="103"/>
      <c r="E113" s="111"/>
      <c r="F113" s="10" t="s">
        <v>568</v>
      </c>
      <c r="G113" s="106"/>
      <c r="H113" s="8" t="s">
        <v>567</v>
      </c>
      <c r="I113" s="8" t="s">
        <v>566</v>
      </c>
      <c r="J113" s="7"/>
      <c r="K113" s="7"/>
      <c r="L113" s="6"/>
    </row>
    <row r="114" spans="1:12">
      <c r="A114" s="122"/>
      <c r="B114" s="108" t="s">
        <v>888</v>
      </c>
      <c r="C114" s="108" t="s">
        <v>8</v>
      </c>
      <c r="D114" s="108" t="s">
        <v>565</v>
      </c>
      <c r="E114" s="105" t="s">
        <v>564</v>
      </c>
      <c r="F114" s="10" t="s">
        <v>556</v>
      </c>
      <c r="G114" s="108" t="s">
        <v>563</v>
      </c>
      <c r="H114" s="8" t="s">
        <v>562</v>
      </c>
      <c r="I114" s="8" t="s">
        <v>561</v>
      </c>
      <c r="J114" s="7"/>
      <c r="K114" s="7"/>
      <c r="L114" s="6" t="s">
        <v>553</v>
      </c>
    </row>
    <row r="115" spans="1:12">
      <c r="A115" s="122"/>
      <c r="B115" s="109"/>
      <c r="C115" s="109"/>
      <c r="D115" s="109"/>
      <c r="E115" s="107"/>
      <c r="F115" s="10" t="s">
        <v>556</v>
      </c>
      <c r="G115" s="109"/>
      <c r="H115" s="8" t="s">
        <v>560</v>
      </c>
      <c r="I115" s="8" t="s">
        <v>559</v>
      </c>
      <c r="J115" s="7"/>
      <c r="K115" s="7"/>
      <c r="L115" s="6"/>
    </row>
    <row r="116" spans="1:12">
      <c r="A116" s="122"/>
      <c r="B116" s="109"/>
      <c r="C116" s="109"/>
      <c r="D116" s="109"/>
      <c r="E116" s="107"/>
      <c r="F116" s="10" t="s">
        <v>556</v>
      </c>
      <c r="G116" s="109"/>
      <c r="H116" s="8" t="s">
        <v>558</v>
      </c>
      <c r="I116" s="8" t="s">
        <v>557</v>
      </c>
      <c r="J116" s="7"/>
      <c r="K116" s="7"/>
      <c r="L116" s="6"/>
    </row>
    <row r="117" spans="1:12">
      <c r="A117" s="122"/>
      <c r="B117" s="109"/>
      <c r="C117" s="109"/>
      <c r="D117" s="109"/>
      <c r="E117" s="107"/>
      <c r="F117" s="10" t="s">
        <v>556</v>
      </c>
      <c r="G117" s="110"/>
      <c r="H117" s="8" t="s">
        <v>555</v>
      </c>
      <c r="I117" s="8" t="s">
        <v>554</v>
      </c>
      <c r="J117" s="7"/>
      <c r="K117" s="7"/>
      <c r="L117" s="6" t="s">
        <v>553</v>
      </c>
    </row>
    <row r="118" spans="1:12">
      <c r="A118" s="122"/>
      <c r="B118" s="109"/>
      <c r="C118" s="109"/>
      <c r="D118" s="109"/>
      <c r="E118" s="107"/>
      <c r="F118" s="10" t="s">
        <v>548</v>
      </c>
      <c r="G118" s="108" t="s">
        <v>552</v>
      </c>
      <c r="H118" s="8" t="s">
        <v>551</v>
      </c>
      <c r="I118" s="8" t="s">
        <v>550</v>
      </c>
      <c r="J118" s="7"/>
      <c r="K118" s="7"/>
      <c r="L118" s="6" t="s">
        <v>549</v>
      </c>
    </row>
    <row r="119" spans="1:12">
      <c r="A119" s="122"/>
      <c r="B119" s="109"/>
      <c r="C119" s="109"/>
      <c r="D119" s="109"/>
      <c r="E119" s="107"/>
      <c r="F119" s="10" t="s">
        <v>548</v>
      </c>
      <c r="G119" s="110"/>
      <c r="H119" s="8" t="s">
        <v>547</v>
      </c>
      <c r="I119" s="8" t="s">
        <v>546</v>
      </c>
      <c r="J119" s="7"/>
      <c r="K119" s="7"/>
      <c r="L119" s="6" t="s">
        <v>545</v>
      </c>
    </row>
    <row r="120" spans="1:12">
      <c r="A120" s="122"/>
      <c r="B120" s="109"/>
      <c r="C120" s="109"/>
      <c r="D120" s="109"/>
      <c r="E120" s="107"/>
      <c r="F120" s="10" t="s">
        <v>544</v>
      </c>
      <c r="G120" s="8" t="s">
        <v>543</v>
      </c>
      <c r="H120" s="8" t="s">
        <v>542</v>
      </c>
      <c r="I120" s="8" t="s">
        <v>541</v>
      </c>
      <c r="J120" s="7"/>
      <c r="K120" s="7"/>
      <c r="L120" s="6" t="s">
        <v>540</v>
      </c>
    </row>
    <row r="121" spans="1:12">
      <c r="A121" s="122"/>
      <c r="B121" s="109"/>
      <c r="C121" s="109"/>
      <c r="D121" s="109"/>
      <c r="E121" s="107"/>
      <c r="F121" s="10" t="s">
        <v>531</v>
      </c>
      <c r="G121" s="108" t="s">
        <v>539</v>
      </c>
      <c r="H121" s="8" t="s">
        <v>538</v>
      </c>
      <c r="I121" s="8" t="s">
        <v>537</v>
      </c>
      <c r="J121" s="7"/>
      <c r="K121" s="7"/>
      <c r="L121" s="6" t="s">
        <v>536</v>
      </c>
    </row>
    <row r="122" spans="1:12">
      <c r="A122" s="122"/>
      <c r="B122" s="109"/>
      <c r="C122" s="109"/>
      <c r="D122" s="109"/>
      <c r="E122" s="107"/>
      <c r="F122" s="10" t="s">
        <v>531</v>
      </c>
      <c r="G122" s="109"/>
      <c r="H122" s="8" t="s">
        <v>535</v>
      </c>
      <c r="I122" s="8" t="s">
        <v>534</v>
      </c>
      <c r="J122" s="7"/>
      <c r="K122" s="7"/>
      <c r="L122" s="6"/>
    </row>
    <row r="123" spans="1:12">
      <c r="A123" s="122"/>
      <c r="B123" s="109"/>
      <c r="C123" s="109"/>
      <c r="D123" s="109"/>
      <c r="E123" s="107"/>
      <c r="F123" s="10"/>
      <c r="G123" s="109"/>
      <c r="H123" s="8" t="s">
        <v>533</v>
      </c>
      <c r="I123" s="8" t="s">
        <v>532</v>
      </c>
      <c r="J123" s="7"/>
      <c r="K123" s="7"/>
      <c r="L123" s="6"/>
    </row>
    <row r="124" spans="1:12">
      <c r="A124" s="122"/>
      <c r="B124" s="109"/>
      <c r="C124" s="109"/>
      <c r="D124" s="109"/>
      <c r="E124" s="107"/>
      <c r="F124" s="10" t="s">
        <v>531</v>
      </c>
      <c r="G124" s="110"/>
      <c r="H124" s="8" t="s">
        <v>530</v>
      </c>
      <c r="I124" s="8" t="s">
        <v>529</v>
      </c>
      <c r="J124" s="7"/>
      <c r="K124" s="7"/>
      <c r="L124" s="6"/>
    </row>
    <row r="125" spans="1:12">
      <c r="A125" s="122"/>
      <c r="B125" s="109"/>
      <c r="C125" s="109"/>
      <c r="D125" s="109"/>
      <c r="E125" s="107"/>
      <c r="F125" s="10" t="s">
        <v>525</v>
      </c>
      <c r="G125" s="105" t="s">
        <v>528</v>
      </c>
      <c r="H125" s="8" t="s">
        <v>527</v>
      </c>
      <c r="I125" s="8" t="s">
        <v>526</v>
      </c>
      <c r="J125" s="7"/>
      <c r="K125" s="7"/>
      <c r="L125" s="6"/>
    </row>
    <row r="126" spans="1:12">
      <c r="A126" s="122"/>
      <c r="B126" s="109"/>
      <c r="C126" s="109"/>
      <c r="D126" s="109"/>
      <c r="E126" s="107"/>
      <c r="F126" s="10" t="s">
        <v>525</v>
      </c>
      <c r="G126" s="106"/>
      <c r="H126" s="8" t="s">
        <v>524</v>
      </c>
      <c r="I126" s="8" t="s">
        <v>523</v>
      </c>
      <c r="J126" s="7"/>
      <c r="K126" s="7"/>
      <c r="L126" s="6"/>
    </row>
    <row r="127" spans="1:12">
      <c r="A127" s="122"/>
      <c r="B127" s="109"/>
      <c r="C127" s="109"/>
      <c r="D127" s="109"/>
      <c r="E127" s="107"/>
      <c r="F127" s="10" t="s">
        <v>517</v>
      </c>
      <c r="G127" s="105" t="s">
        <v>522</v>
      </c>
      <c r="H127" s="8" t="s">
        <v>521</v>
      </c>
      <c r="I127" s="8" t="s">
        <v>520</v>
      </c>
      <c r="J127" s="7"/>
      <c r="K127" s="7"/>
      <c r="L127" s="6"/>
    </row>
    <row r="128" spans="1:12">
      <c r="A128" s="122"/>
      <c r="B128" s="109"/>
      <c r="C128" s="109"/>
      <c r="D128" s="109"/>
      <c r="E128" s="107"/>
      <c r="F128" s="10" t="s">
        <v>517</v>
      </c>
      <c r="G128" s="107"/>
      <c r="H128" s="8" t="s">
        <v>519</v>
      </c>
      <c r="I128" s="8" t="s">
        <v>518</v>
      </c>
      <c r="J128" s="7"/>
      <c r="K128" s="7"/>
      <c r="L128" s="6"/>
    </row>
    <row r="129" spans="1:12">
      <c r="A129" s="122"/>
      <c r="B129" s="109"/>
      <c r="C129" s="109"/>
      <c r="D129" s="109"/>
      <c r="E129" s="107"/>
      <c r="F129" s="10" t="s">
        <v>517</v>
      </c>
      <c r="G129" s="106"/>
      <c r="H129" s="8" t="s">
        <v>516</v>
      </c>
      <c r="I129" s="8" t="s">
        <v>515</v>
      </c>
      <c r="J129" s="7"/>
      <c r="K129" s="7"/>
      <c r="L129" s="6"/>
    </row>
    <row r="130" spans="1:12">
      <c r="A130" s="122"/>
      <c r="B130" s="109"/>
      <c r="C130" s="109"/>
      <c r="D130" s="109"/>
      <c r="E130" s="107"/>
      <c r="F130" s="10" t="s">
        <v>503</v>
      </c>
      <c r="G130" s="108" t="s">
        <v>514</v>
      </c>
      <c r="H130" s="8" t="s">
        <v>513</v>
      </c>
      <c r="I130" s="8" t="s">
        <v>512</v>
      </c>
      <c r="J130" s="7"/>
      <c r="K130" s="7"/>
      <c r="L130" s="6"/>
    </row>
    <row r="131" spans="1:12">
      <c r="A131" s="122"/>
      <c r="B131" s="109"/>
      <c r="C131" s="109"/>
      <c r="D131" s="109"/>
      <c r="E131" s="107"/>
      <c r="F131" s="10" t="s">
        <v>503</v>
      </c>
      <c r="G131" s="109"/>
      <c r="H131" s="8" t="s">
        <v>511</v>
      </c>
      <c r="I131" s="8" t="s">
        <v>510</v>
      </c>
      <c r="J131" s="7"/>
      <c r="K131" s="7"/>
      <c r="L131" s="6"/>
    </row>
    <row r="132" spans="1:12">
      <c r="A132" s="122"/>
      <c r="B132" s="109"/>
      <c r="C132" s="109"/>
      <c r="D132" s="109"/>
      <c r="E132" s="107"/>
      <c r="F132" s="10" t="s">
        <v>503</v>
      </c>
      <c r="G132" s="109"/>
      <c r="H132" s="8" t="s">
        <v>509</v>
      </c>
      <c r="I132" s="8" t="s">
        <v>508</v>
      </c>
      <c r="J132" s="7"/>
      <c r="K132" s="7"/>
      <c r="L132" s="6"/>
    </row>
    <row r="133" spans="1:12">
      <c r="A133" s="122"/>
      <c r="B133" s="109"/>
      <c r="C133" s="109"/>
      <c r="D133" s="109"/>
      <c r="E133" s="107"/>
      <c r="F133" s="10" t="s">
        <v>503</v>
      </c>
      <c r="G133" s="109"/>
      <c r="H133" s="8" t="s">
        <v>507</v>
      </c>
      <c r="I133" s="8" t="s">
        <v>506</v>
      </c>
      <c r="J133" s="7"/>
      <c r="K133" s="7"/>
      <c r="L133" s="6"/>
    </row>
    <row r="134" spans="1:12">
      <c r="A134" s="122"/>
      <c r="B134" s="109"/>
      <c r="C134" s="109"/>
      <c r="D134" s="109"/>
      <c r="E134" s="107"/>
      <c r="F134" s="10"/>
      <c r="G134" s="109"/>
      <c r="H134" s="8" t="s">
        <v>505</v>
      </c>
      <c r="I134" s="8" t="s">
        <v>504</v>
      </c>
      <c r="J134" s="7"/>
      <c r="K134" s="7"/>
      <c r="L134" s="6"/>
    </row>
    <row r="135" spans="1:12">
      <c r="A135" s="122"/>
      <c r="B135" s="109"/>
      <c r="C135" s="109"/>
      <c r="D135" s="109"/>
      <c r="E135" s="107"/>
      <c r="F135" s="10" t="s">
        <v>503</v>
      </c>
      <c r="G135" s="110"/>
      <c r="H135" s="8" t="s">
        <v>502</v>
      </c>
      <c r="I135" s="8" t="s">
        <v>501</v>
      </c>
      <c r="J135" s="7"/>
      <c r="K135" s="7"/>
      <c r="L135" s="6"/>
    </row>
    <row r="136" spans="1:12">
      <c r="A136" s="122"/>
      <c r="B136" s="109"/>
      <c r="C136" s="109"/>
      <c r="D136" s="109"/>
      <c r="E136" s="107"/>
      <c r="F136" s="10" t="s">
        <v>500</v>
      </c>
      <c r="G136" s="8" t="s">
        <v>499</v>
      </c>
      <c r="H136" s="8" t="s">
        <v>498</v>
      </c>
      <c r="I136" s="8" t="s">
        <v>497</v>
      </c>
      <c r="J136" s="7"/>
      <c r="K136" s="7"/>
      <c r="L136" s="6"/>
    </row>
    <row r="137" spans="1:12">
      <c r="A137" s="122"/>
      <c r="B137" s="109"/>
      <c r="C137" s="109"/>
      <c r="D137" s="109"/>
      <c r="E137" s="107"/>
      <c r="F137" s="10" t="s">
        <v>493</v>
      </c>
      <c r="G137" s="105" t="s">
        <v>496</v>
      </c>
      <c r="H137" s="8" t="s">
        <v>495</v>
      </c>
      <c r="I137" s="8" t="s">
        <v>494</v>
      </c>
      <c r="J137" s="7"/>
      <c r="K137" s="7"/>
      <c r="L137" s="6"/>
    </row>
    <row r="138" spans="1:12">
      <c r="A138" s="122"/>
      <c r="B138" s="109"/>
      <c r="C138" s="109"/>
      <c r="D138" s="109"/>
      <c r="E138" s="107"/>
      <c r="F138" s="10" t="s">
        <v>493</v>
      </c>
      <c r="G138" s="106"/>
      <c r="H138" s="8" t="s">
        <v>492</v>
      </c>
      <c r="I138" s="8" t="s">
        <v>491</v>
      </c>
      <c r="J138" s="7"/>
      <c r="K138" s="7"/>
      <c r="L138" s="6"/>
    </row>
    <row r="139" spans="1:12">
      <c r="A139" s="122"/>
      <c r="B139" s="109"/>
      <c r="C139" s="109"/>
      <c r="D139" s="109"/>
      <c r="E139" s="107"/>
      <c r="F139" s="10" t="s">
        <v>483</v>
      </c>
      <c r="G139" s="105" t="s">
        <v>490</v>
      </c>
      <c r="H139" s="8" t="s">
        <v>489</v>
      </c>
      <c r="I139" s="8" t="s">
        <v>488</v>
      </c>
      <c r="J139" s="7"/>
      <c r="K139" s="7"/>
      <c r="L139" s="6"/>
    </row>
    <row r="140" spans="1:12">
      <c r="A140" s="122"/>
      <c r="B140" s="109"/>
      <c r="C140" s="109"/>
      <c r="D140" s="109"/>
      <c r="E140" s="107"/>
      <c r="F140" s="10" t="s">
        <v>483</v>
      </c>
      <c r="G140" s="107"/>
      <c r="H140" s="8" t="s">
        <v>487</v>
      </c>
      <c r="I140" s="8" t="s">
        <v>486</v>
      </c>
      <c r="J140" s="7"/>
      <c r="K140" s="7"/>
      <c r="L140" s="6"/>
    </row>
    <row r="141" spans="1:12">
      <c r="A141" s="122"/>
      <c r="B141" s="109"/>
      <c r="C141" s="109"/>
      <c r="D141" s="109"/>
      <c r="E141" s="107"/>
      <c r="F141" s="10" t="s">
        <v>483</v>
      </c>
      <c r="G141" s="107"/>
      <c r="H141" s="8" t="s">
        <v>485</v>
      </c>
      <c r="I141" s="11" t="s">
        <v>484</v>
      </c>
      <c r="J141" s="14"/>
      <c r="K141" s="14"/>
      <c r="L141" s="6"/>
    </row>
    <row r="142" spans="1:12">
      <c r="A142" s="122"/>
      <c r="B142" s="109"/>
      <c r="C142" s="109"/>
      <c r="D142" s="109"/>
      <c r="E142" s="107"/>
      <c r="F142" s="10" t="s">
        <v>483</v>
      </c>
      <c r="G142" s="106"/>
      <c r="H142" s="8" t="s">
        <v>482</v>
      </c>
      <c r="I142" s="11" t="s">
        <v>481</v>
      </c>
      <c r="J142" s="14"/>
      <c r="K142" s="14"/>
      <c r="L142" s="6"/>
    </row>
    <row r="143" spans="1:12">
      <c r="A143" s="122"/>
      <c r="B143" s="109"/>
      <c r="C143" s="109"/>
      <c r="D143" s="109"/>
      <c r="E143" s="107"/>
      <c r="F143" s="10" t="s">
        <v>480</v>
      </c>
      <c r="G143" s="11" t="s">
        <v>479</v>
      </c>
      <c r="H143" s="8" t="s">
        <v>478</v>
      </c>
      <c r="I143" s="11" t="s">
        <v>477</v>
      </c>
      <c r="J143" s="14"/>
      <c r="K143" s="14"/>
      <c r="L143" s="6"/>
    </row>
    <row r="144" spans="1:12">
      <c r="A144" s="122"/>
      <c r="B144" s="109"/>
      <c r="C144" s="109"/>
      <c r="D144" s="109"/>
      <c r="E144" s="107"/>
      <c r="F144" s="10" t="s">
        <v>476</v>
      </c>
      <c r="G144" s="11" t="s">
        <v>475</v>
      </c>
      <c r="H144" s="10" t="s">
        <v>474</v>
      </c>
      <c r="I144" s="11" t="s">
        <v>473</v>
      </c>
      <c r="J144" s="14"/>
      <c r="K144" s="14"/>
      <c r="L144" s="6"/>
    </row>
    <row r="145" spans="1:12">
      <c r="A145" s="122"/>
      <c r="B145" s="110"/>
      <c r="C145" s="110"/>
      <c r="D145" s="110"/>
      <c r="E145" s="106"/>
      <c r="F145" s="10"/>
      <c r="G145" s="11"/>
      <c r="H145" s="10" t="s">
        <v>472</v>
      </c>
      <c r="I145" s="11" t="s">
        <v>471</v>
      </c>
      <c r="J145" s="14"/>
      <c r="K145" s="14"/>
      <c r="L145" s="6"/>
    </row>
    <row r="146" spans="1:12">
      <c r="A146" s="122"/>
      <c r="B146" s="103" t="s">
        <v>888</v>
      </c>
      <c r="C146" s="127" t="s">
        <v>8</v>
      </c>
      <c r="D146" s="103" t="s">
        <v>470</v>
      </c>
      <c r="E146" s="111" t="s">
        <v>469</v>
      </c>
      <c r="F146" s="10" t="s">
        <v>458</v>
      </c>
      <c r="G146" s="105" t="s">
        <v>468</v>
      </c>
      <c r="H146" s="8" t="s">
        <v>467</v>
      </c>
      <c r="I146" s="8" t="s">
        <v>466</v>
      </c>
      <c r="J146" s="7"/>
      <c r="K146" s="7"/>
      <c r="L146" s="6" t="s">
        <v>465</v>
      </c>
    </row>
    <row r="147" spans="1:12">
      <c r="A147" s="122"/>
      <c r="B147" s="103"/>
      <c r="C147" s="128"/>
      <c r="D147" s="103"/>
      <c r="E147" s="111"/>
      <c r="F147" s="10" t="s">
        <v>458</v>
      </c>
      <c r="G147" s="107"/>
      <c r="H147" s="8" t="s">
        <v>464</v>
      </c>
      <c r="I147" s="8" t="s">
        <v>463</v>
      </c>
      <c r="J147" s="7"/>
      <c r="K147" s="7"/>
      <c r="L147" s="6" t="s">
        <v>462</v>
      </c>
    </row>
    <row r="148" spans="1:12">
      <c r="A148" s="122"/>
      <c r="B148" s="103"/>
      <c r="C148" s="128"/>
      <c r="D148" s="103"/>
      <c r="E148" s="111"/>
      <c r="F148" s="10" t="s">
        <v>458</v>
      </c>
      <c r="G148" s="107"/>
      <c r="H148" s="8" t="s">
        <v>461</v>
      </c>
      <c r="I148" s="8" t="s">
        <v>460</v>
      </c>
      <c r="J148" s="7"/>
      <c r="K148" s="7"/>
      <c r="L148" s="6" t="s">
        <v>459</v>
      </c>
    </row>
    <row r="149" spans="1:12">
      <c r="A149" s="122"/>
      <c r="B149" s="103"/>
      <c r="C149" s="128"/>
      <c r="D149" s="103"/>
      <c r="E149" s="111"/>
      <c r="F149" s="10" t="s">
        <v>458</v>
      </c>
      <c r="G149" s="106"/>
      <c r="H149" s="8" t="s">
        <v>457</v>
      </c>
      <c r="I149" s="8" t="s">
        <v>456</v>
      </c>
      <c r="J149" s="7"/>
      <c r="K149" s="7"/>
      <c r="L149" s="6"/>
    </row>
    <row r="150" spans="1:12">
      <c r="A150" s="122"/>
      <c r="B150" s="103"/>
      <c r="C150" s="128"/>
      <c r="D150" s="103"/>
      <c r="E150" s="111"/>
      <c r="F150" s="10" t="s">
        <v>449</v>
      </c>
      <c r="G150" s="108" t="s">
        <v>455</v>
      </c>
      <c r="H150" s="8" t="s">
        <v>454</v>
      </c>
      <c r="I150" s="8" t="s">
        <v>89</v>
      </c>
      <c r="J150" s="7"/>
      <c r="K150" s="7"/>
      <c r="L150" s="6" t="s">
        <v>453</v>
      </c>
    </row>
    <row r="151" spans="1:12">
      <c r="A151" s="122"/>
      <c r="B151" s="103"/>
      <c r="C151" s="128"/>
      <c r="D151" s="103"/>
      <c r="E151" s="111"/>
      <c r="F151" s="10" t="s">
        <v>449</v>
      </c>
      <c r="G151" s="109"/>
      <c r="H151" s="8" t="s">
        <v>452</v>
      </c>
      <c r="I151" s="8" t="s">
        <v>451</v>
      </c>
      <c r="J151" s="7"/>
      <c r="K151" s="7"/>
      <c r="L151" s="6" t="s">
        <v>450</v>
      </c>
    </row>
    <row r="152" spans="1:12">
      <c r="A152" s="122"/>
      <c r="B152" s="103"/>
      <c r="C152" s="112"/>
      <c r="D152" s="103"/>
      <c r="E152" s="111"/>
      <c r="F152" s="10" t="s">
        <v>449</v>
      </c>
      <c r="G152" s="110"/>
      <c r="H152" s="8" t="s">
        <v>448</v>
      </c>
      <c r="I152" s="8" t="s">
        <v>61</v>
      </c>
      <c r="J152" s="7"/>
      <c r="K152" s="7"/>
      <c r="L152" s="6" t="s">
        <v>447</v>
      </c>
    </row>
    <row r="153" spans="1:12">
      <c r="A153" s="122"/>
      <c r="B153" s="127" t="s">
        <v>913</v>
      </c>
      <c r="C153" s="127" t="s">
        <v>8</v>
      </c>
      <c r="D153" s="127" t="s">
        <v>446</v>
      </c>
      <c r="E153" s="108" t="s">
        <v>445</v>
      </c>
      <c r="F153" s="10" t="s">
        <v>435</v>
      </c>
      <c r="G153" s="105" t="s">
        <v>309</v>
      </c>
      <c r="H153" s="8" t="s">
        <v>444</v>
      </c>
      <c r="I153" s="8" t="s">
        <v>307</v>
      </c>
      <c r="J153" s="7"/>
      <c r="K153" s="7"/>
      <c r="L153" s="6" t="s">
        <v>306</v>
      </c>
    </row>
    <row r="154" spans="1:12">
      <c r="A154" s="122"/>
      <c r="B154" s="128"/>
      <c r="C154" s="128"/>
      <c r="D154" s="128"/>
      <c r="E154" s="109"/>
      <c r="F154" s="10" t="s">
        <v>435</v>
      </c>
      <c r="G154" s="107"/>
      <c r="H154" s="8" t="s">
        <v>443</v>
      </c>
      <c r="I154" s="8" t="s">
        <v>304</v>
      </c>
      <c r="J154" s="7"/>
      <c r="K154" s="7"/>
      <c r="L154" s="6" t="s">
        <v>303</v>
      </c>
    </row>
    <row r="155" spans="1:12">
      <c r="A155" s="122"/>
      <c r="B155" s="128"/>
      <c r="C155" s="128"/>
      <c r="D155" s="128"/>
      <c r="E155" s="109"/>
      <c r="F155" s="10" t="s">
        <v>435</v>
      </c>
      <c r="G155" s="107"/>
      <c r="H155" s="8" t="s">
        <v>442</v>
      </c>
      <c r="I155" s="8" t="s">
        <v>301</v>
      </c>
      <c r="J155" s="7"/>
      <c r="K155" s="7"/>
      <c r="L155" s="6" t="s">
        <v>300</v>
      </c>
    </row>
    <row r="156" spans="1:12">
      <c r="A156" s="122"/>
      <c r="B156" s="128"/>
      <c r="C156" s="128"/>
      <c r="D156" s="128"/>
      <c r="E156" s="109"/>
      <c r="F156" s="10" t="s">
        <v>435</v>
      </c>
      <c r="G156" s="107"/>
      <c r="H156" s="8" t="s">
        <v>441</v>
      </c>
      <c r="I156" s="8" t="s">
        <v>298</v>
      </c>
      <c r="J156" s="7"/>
      <c r="K156" s="7"/>
      <c r="L156" s="6" t="s">
        <v>297</v>
      </c>
    </row>
    <row r="157" spans="1:12">
      <c r="A157" s="122"/>
      <c r="B157" s="128"/>
      <c r="C157" s="128"/>
      <c r="D157" s="128"/>
      <c r="E157" s="109"/>
      <c r="F157" s="10" t="s">
        <v>435</v>
      </c>
      <c r="G157" s="107"/>
      <c r="H157" s="8" t="s">
        <v>440</v>
      </c>
      <c r="I157" s="8" t="s">
        <v>295</v>
      </c>
      <c r="J157" s="7"/>
      <c r="K157" s="7"/>
      <c r="L157" s="6" t="s">
        <v>294</v>
      </c>
    </row>
    <row r="158" spans="1:12">
      <c r="A158" s="122"/>
      <c r="B158" s="128"/>
      <c r="C158" s="128"/>
      <c r="D158" s="128"/>
      <c r="E158" s="109"/>
      <c r="F158" s="10" t="s">
        <v>435</v>
      </c>
      <c r="G158" s="107"/>
      <c r="H158" s="8" t="s">
        <v>439</v>
      </c>
      <c r="I158" s="8" t="s">
        <v>292</v>
      </c>
      <c r="J158" s="7"/>
      <c r="K158" s="7"/>
      <c r="L158" s="6" t="s">
        <v>291</v>
      </c>
    </row>
    <row r="159" spans="1:12">
      <c r="A159" s="122"/>
      <c r="B159" s="128"/>
      <c r="C159" s="128"/>
      <c r="D159" s="128"/>
      <c r="E159" s="109"/>
      <c r="F159" s="10" t="s">
        <v>435</v>
      </c>
      <c r="G159" s="107"/>
      <c r="H159" s="8" t="s">
        <v>438</v>
      </c>
      <c r="I159" s="8" t="s">
        <v>288</v>
      </c>
      <c r="J159" s="7"/>
      <c r="K159" s="7"/>
      <c r="L159" s="6" t="s">
        <v>287</v>
      </c>
    </row>
    <row r="160" spans="1:12">
      <c r="A160" s="122"/>
      <c r="B160" s="128"/>
      <c r="C160" s="128"/>
      <c r="D160" s="128"/>
      <c r="E160" s="109"/>
      <c r="F160" s="10" t="s">
        <v>435</v>
      </c>
      <c r="G160" s="107"/>
      <c r="H160" s="8" t="s">
        <v>437</v>
      </c>
      <c r="I160" s="8" t="s">
        <v>436</v>
      </c>
      <c r="J160" s="7"/>
      <c r="K160" s="7"/>
      <c r="L160" s="6" t="s">
        <v>436</v>
      </c>
    </row>
    <row r="161" spans="1:12">
      <c r="A161" s="122"/>
      <c r="B161" s="128"/>
      <c r="C161" s="128"/>
      <c r="D161" s="128"/>
      <c r="E161" s="109"/>
      <c r="F161" s="10" t="s">
        <v>435</v>
      </c>
      <c r="G161" s="106"/>
      <c r="H161" s="8" t="s">
        <v>434</v>
      </c>
      <c r="I161" s="8" t="s">
        <v>433</v>
      </c>
      <c r="J161" s="7"/>
      <c r="K161" s="7"/>
      <c r="L161" s="6"/>
    </row>
    <row r="162" spans="1:12">
      <c r="A162" s="122"/>
      <c r="B162" s="128"/>
      <c r="C162" s="128"/>
      <c r="D162" s="128"/>
      <c r="E162" s="109"/>
      <c r="F162" s="10" t="s">
        <v>430</v>
      </c>
      <c r="G162" s="111" t="s">
        <v>286</v>
      </c>
      <c r="H162" s="8" t="s">
        <v>432</v>
      </c>
      <c r="I162" s="8" t="s">
        <v>284</v>
      </c>
      <c r="J162" s="7"/>
      <c r="K162" s="7"/>
      <c r="L162" s="6" t="s">
        <v>283</v>
      </c>
    </row>
    <row r="163" spans="1:12">
      <c r="A163" s="122"/>
      <c r="B163" s="128"/>
      <c r="C163" s="128"/>
      <c r="D163" s="128"/>
      <c r="E163" s="109"/>
      <c r="F163" s="10" t="s">
        <v>430</v>
      </c>
      <c r="G163" s="111"/>
      <c r="H163" s="8" t="s">
        <v>431</v>
      </c>
      <c r="I163" s="8" t="s">
        <v>281</v>
      </c>
      <c r="J163" s="7"/>
      <c r="K163" s="7"/>
      <c r="L163" s="6" t="s">
        <v>280</v>
      </c>
    </row>
    <row r="164" spans="1:12">
      <c r="A164" s="122"/>
      <c r="B164" s="128"/>
      <c r="C164" s="128"/>
      <c r="D164" s="128"/>
      <c r="E164" s="109"/>
      <c r="F164" s="10" t="s">
        <v>430</v>
      </c>
      <c r="G164" s="111"/>
      <c r="H164" s="8" t="s">
        <v>429</v>
      </c>
      <c r="I164" s="8" t="s">
        <v>277</v>
      </c>
      <c r="J164" s="7"/>
      <c r="K164" s="7"/>
      <c r="L164" s="6" t="s">
        <v>276</v>
      </c>
    </row>
    <row r="165" spans="1:12">
      <c r="A165" s="122"/>
      <c r="B165" s="128"/>
      <c r="C165" s="128"/>
      <c r="D165" s="128"/>
      <c r="E165" s="109"/>
      <c r="F165" s="10" t="s">
        <v>427</v>
      </c>
      <c r="G165" s="111" t="s">
        <v>275</v>
      </c>
      <c r="H165" s="8" t="s">
        <v>428</v>
      </c>
      <c r="I165" s="8" t="s">
        <v>273</v>
      </c>
      <c r="J165" s="7"/>
      <c r="K165" s="7"/>
      <c r="L165" s="6" t="s">
        <v>272</v>
      </c>
    </row>
    <row r="166" spans="1:12">
      <c r="A166" s="122"/>
      <c r="B166" s="128"/>
      <c r="C166" s="128"/>
      <c r="D166" s="128"/>
      <c r="E166" s="109"/>
      <c r="F166" s="10" t="s">
        <v>427</v>
      </c>
      <c r="G166" s="111"/>
      <c r="H166" s="8" t="s">
        <v>426</v>
      </c>
      <c r="I166" s="8" t="s">
        <v>269</v>
      </c>
      <c r="J166" s="7"/>
      <c r="K166" s="7"/>
      <c r="L166" s="6" t="s">
        <v>268</v>
      </c>
    </row>
    <row r="167" spans="1:12">
      <c r="A167" s="122"/>
      <c r="B167" s="128"/>
      <c r="C167" s="128"/>
      <c r="D167" s="128"/>
      <c r="E167" s="109"/>
      <c r="F167" s="10" t="s">
        <v>424</v>
      </c>
      <c r="G167" s="111" t="s">
        <v>267</v>
      </c>
      <c r="H167" s="8" t="s">
        <v>425</v>
      </c>
      <c r="I167" s="8" t="s">
        <v>265</v>
      </c>
      <c r="J167" s="7"/>
      <c r="K167" s="7"/>
      <c r="L167" s="6" t="s">
        <v>264</v>
      </c>
    </row>
    <row r="168" spans="1:12">
      <c r="A168" s="122"/>
      <c r="B168" s="128"/>
      <c r="C168" s="128"/>
      <c r="D168" s="128"/>
      <c r="E168" s="109"/>
      <c r="F168" s="10" t="s">
        <v>424</v>
      </c>
      <c r="G168" s="111"/>
      <c r="H168" s="8" t="s">
        <v>423</v>
      </c>
      <c r="I168" s="8" t="s">
        <v>261</v>
      </c>
      <c r="J168" s="7"/>
      <c r="K168" s="7"/>
      <c r="L168" s="6" t="s">
        <v>260</v>
      </c>
    </row>
    <row r="169" spans="1:12">
      <c r="A169" s="122"/>
      <c r="B169" s="128"/>
      <c r="C169" s="128"/>
      <c r="D169" s="128"/>
      <c r="E169" s="109"/>
      <c r="F169" s="10" t="s">
        <v>420</v>
      </c>
      <c r="G169" s="111" t="s">
        <v>259</v>
      </c>
      <c r="H169" s="8" t="s">
        <v>422</v>
      </c>
      <c r="I169" s="8" t="s">
        <v>257</v>
      </c>
      <c r="J169" s="7"/>
      <c r="K169" s="7"/>
      <c r="L169" s="6" t="s">
        <v>256</v>
      </c>
    </row>
    <row r="170" spans="1:12">
      <c r="A170" s="122"/>
      <c r="B170" s="128"/>
      <c r="C170" s="128"/>
      <c r="D170" s="128"/>
      <c r="E170" s="109"/>
      <c r="F170" s="10" t="s">
        <v>420</v>
      </c>
      <c r="G170" s="111"/>
      <c r="H170" s="8" t="s">
        <v>421</v>
      </c>
      <c r="I170" s="8" t="s">
        <v>254</v>
      </c>
      <c r="J170" s="7"/>
      <c r="K170" s="7"/>
      <c r="L170" s="6" t="s">
        <v>253</v>
      </c>
    </row>
    <row r="171" spans="1:12">
      <c r="A171" s="122"/>
      <c r="B171" s="128"/>
      <c r="C171" s="128"/>
      <c r="D171" s="128"/>
      <c r="E171" s="109"/>
      <c r="F171" s="10" t="s">
        <v>420</v>
      </c>
      <c r="G171" s="111"/>
      <c r="H171" s="8" t="s">
        <v>419</v>
      </c>
      <c r="I171" s="8" t="s">
        <v>251</v>
      </c>
      <c r="J171" s="7"/>
      <c r="K171" s="7"/>
      <c r="L171" s="6" t="s">
        <v>250</v>
      </c>
    </row>
    <row r="172" spans="1:12">
      <c r="A172" s="122"/>
      <c r="B172" s="128"/>
      <c r="C172" s="128"/>
      <c r="D172" s="128"/>
      <c r="E172" s="109"/>
      <c r="F172" s="10" t="s">
        <v>415</v>
      </c>
      <c r="G172" s="111" t="s">
        <v>246</v>
      </c>
      <c r="H172" s="8" t="s">
        <v>418</v>
      </c>
      <c r="I172" s="8" t="s">
        <v>244</v>
      </c>
      <c r="J172" s="7"/>
      <c r="K172" s="7"/>
      <c r="L172" s="6" t="s">
        <v>243</v>
      </c>
    </row>
    <row r="173" spans="1:12">
      <c r="A173" s="122"/>
      <c r="B173" s="128"/>
      <c r="C173" s="128"/>
      <c r="D173" s="128"/>
      <c r="E173" s="109"/>
      <c r="F173" s="10" t="s">
        <v>415</v>
      </c>
      <c r="G173" s="111"/>
      <c r="H173" s="8" t="s">
        <v>417</v>
      </c>
      <c r="I173" s="8" t="s">
        <v>241</v>
      </c>
      <c r="J173" s="7"/>
      <c r="K173" s="7"/>
      <c r="L173" s="6" t="s">
        <v>240</v>
      </c>
    </row>
    <row r="174" spans="1:12">
      <c r="A174" s="122"/>
      <c r="B174" s="128"/>
      <c r="C174" s="128"/>
      <c r="D174" s="128"/>
      <c r="E174" s="109"/>
      <c r="F174" s="10" t="s">
        <v>415</v>
      </c>
      <c r="G174" s="111"/>
      <c r="H174" s="8" t="s">
        <v>416</v>
      </c>
      <c r="I174" s="8" t="s">
        <v>238</v>
      </c>
      <c r="J174" s="7"/>
      <c r="K174" s="7"/>
      <c r="L174" s="6" t="s">
        <v>237</v>
      </c>
    </row>
    <row r="175" spans="1:12">
      <c r="A175" s="122"/>
      <c r="B175" s="128"/>
      <c r="C175" s="128"/>
      <c r="D175" s="128"/>
      <c r="E175" s="109"/>
      <c r="F175" s="10" t="s">
        <v>415</v>
      </c>
      <c r="G175" s="111"/>
      <c r="H175" s="8" t="s">
        <v>414</v>
      </c>
      <c r="I175" s="8" t="s">
        <v>235</v>
      </c>
      <c r="J175" s="7"/>
      <c r="K175" s="7"/>
      <c r="L175" s="6" t="s">
        <v>231</v>
      </c>
    </row>
    <row r="176" spans="1:12">
      <c r="A176" s="122"/>
      <c r="B176" s="128"/>
      <c r="C176" s="128"/>
      <c r="D176" s="128"/>
      <c r="E176" s="109"/>
      <c r="F176" s="10" t="s">
        <v>406</v>
      </c>
      <c r="G176" s="111" t="s">
        <v>230</v>
      </c>
      <c r="H176" s="8" t="s">
        <v>413</v>
      </c>
      <c r="I176" s="8" t="s">
        <v>228</v>
      </c>
      <c r="J176" s="7"/>
      <c r="K176" s="7"/>
      <c r="L176" s="6" t="s">
        <v>227</v>
      </c>
    </row>
    <row r="177" spans="1:12">
      <c r="A177" s="122"/>
      <c r="B177" s="128"/>
      <c r="C177" s="128"/>
      <c r="D177" s="128"/>
      <c r="E177" s="109"/>
      <c r="F177" s="10" t="s">
        <v>406</v>
      </c>
      <c r="G177" s="111"/>
      <c r="H177" s="8" t="s">
        <v>412</v>
      </c>
      <c r="I177" s="8" t="s">
        <v>225</v>
      </c>
      <c r="J177" s="7"/>
      <c r="K177" s="7"/>
      <c r="L177" s="6" t="s">
        <v>224</v>
      </c>
    </row>
    <row r="178" spans="1:12">
      <c r="A178" s="122"/>
      <c r="B178" s="128"/>
      <c r="C178" s="128"/>
      <c r="D178" s="128"/>
      <c r="E178" s="109"/>
      <c r="F178" s="10" t="s">
        <v>406</v>
      </c>
      <c r="G178" s="111"/>
      <c r="H178" s="8" t="s">
        <v>411</v>
      </c>
      <c r="I178" s="8" t="s">
        <v>222</v>
      </c>
      <c r="J178" s="7"/>
      <c r="K178" s="7"/>
      <c r="L178" s="6" t="s">
        <v>221</v>
      </c>
    </row>
    <row r="179" spans="1:12">
      <c r="A179" s="122"/>
      <c r="B179" s="128"/>
      <c r="C179" s="128"/>
      <c r="D179" s="128"/>
      <c r="E179" s="109"/>
      <c r="F179" s="10" t="s">
        <v>406</v>
      </c>
      <c r="G179" s="111"/>
      <c r="H179" s="8" t="s">
        <v>410</v>
      </c>
      <c r="I179" s="8" t="s">
        <v>219</v>
      </c>
      <c r="J179" s="7"/>
      <c r="K179" s="7"/>
      <c r="L179" s="6" t="s">
        <v>216</v>
      </c>
    </row>
    <row r="180" spans="1:12">
      <c r="A180" s="122"/>
      <c r="B180" s="128"/>
      <c r="C180" s="128"/>
      <c r="D180" s="128"/>
      <c r="E180" s="109"/>
      <c r="F180" s="10" t="s">
        <v>406</v>
      </c>
      <c r="G180" s="111"/>
      <c r="H180" s="8" t="s">
        <v>409</v>
      </c>
      <c r="I180" s="8" t="s">
        <v>217</v>
      </c>
      <c r="J180" s="7"/>
      <c r="K180" s="7"/>
      <c r="L180" s="6" t="s">
        <v>216</v>
      </c>
    </row>
    <row r="181" spans="1:12">
      <c r="A181" s="122"/>
      <c r="B181" s="128"/>
      <c r="C181" s="128"/>
      <c r="D181" s="128"/>
      <c r="E181" s="109"/>
      <c r="F181" s="10" t="s">
        <v>406</v>
      </c>
      <c r="G181" s="111"/>
      <c r="H181" s="8" t="s">
        <v>408</v>
      </c>
      <c r="I181" s="8" t="s">
        <v>407</v>
      </c>
      <c r="J181" s="7"/>
      <c r="K181" s="7"/>
      <c r="L181" s="6"/>
    </row>
    <row r="182" spans="1:12">
      <c r="A182" s="122"/>
      <c r="B182" s="128"/>
      <c r="C182" s="128"/>
      <c r="D182" s="128"/>
      <c r="E182" s="109"/>
      <c r="F182" s="10" t="s">
        <v>406</v>
      </c>
      <c r="G182" s="111"/>
      <c r="H182" s="8" t="s">
        <v>405</v>
      </c>
      <c r="I182" s="8" t="s">
        <v>404</v>
      </c>
      <c r="J182" s="7"/>
      <c r="K182" s="7"/>
      <c r="L182" s="6"/>
    </row>
    <row r="183" spans="1:12">
      <c r="A183" s="122"/>
      <c r="B183" s="128"/>
      <c r="C183" s="128"/>
      <c r="D183" s="128"/>
      <c r="E183" s="109"/>
      <c r="F183" s="10" t="s">
        <v>400</v>
      </c>
      <c r="G183" s="111" t="s">
        <v>212</v>
      </c>
      <c r="H183" s="8" t="s">
        <v>403</v>
      </c>
      <c r="I183" s="8" t="s">
        <v>210</v>
      </c>
      <c r="J183" s="7"/>
      <c r="K183" s="7"/>
      <c r="L183" s="6" t="s">
        <v>209</v>
      </c>
    </row>
    <row r="184" spans="1:12">
      <c r="A184" s="122"/>
      <c r="B184" s="128"/>
      <c r="C184" s="128"/>
      <c r="D184" s="128"/>
      <c r="E184" s="109"/>
      <c r="F184" s="10" t="s">
        <v>400</v>
      </c>
      <c r="G184" s="111"/>
      <c r="H184" s="8" t="s">
        <v>402</v>
      </c>
      <c r="I184" s="8" t="s">
        <v>207</v>
      </c>
      <c r="J184" s="7"/>
      <c r="K184" s="7"/>
      <c r="L184" s="6" t="s">
        <v>206</v>
      </c>
    </row>
    <row r="185" spans="1:12">
      <c r="A185" s="122"/>
      <c r="B185" s="128"/>
      <c r="C185" s="128"/>
      <c r="D185" s="128"/>
      <c r="E185" s="109"/>
      <c r="F185" s="10" t="s">
        <v>400</v>
      </c>
      <c r="G185" s="111"/>
      <c r="H185" s="8" t="s">
        <v>401</v>
      </c>
      <c r="I185" s="8" t="s">
        <v>203</v>
      </c>
      <c r="J185" s="7"/>
      <c r="K185" s="7"/>
      <c r="L185" s="6" t="s">
        <v>202</v>
      </c>
    </row>
    <row r="186" spans="1:12">
      <c r="A186" s="122"/>
      <c r="B186" s="128"/>
      <c r="C186" s="128"/>
      <c r="D186" s="128"/>
      <c r="E186" s="109"/>
      <c r="F186" s="10" t="s">
        <v>400</v>
      </c>
      <c r="G186" s="111"/>
      <c r="H186" s="8" t="s">
        <v>399</v>
      </c>
      <c r="I186" s="8" t="s">
        <v>398</v>
      </c>
      <c r="J186" s="7"/>
      <c r="K186" s="7"/>
      <c r="L186" s="6"/>
    </row>
    <row r="187" spans="1:12">
      <c r="A187" s="122"/>
      <c r="B187" s="128"/>
      <c r="C187" s="128"/>
      <c r="D187" s="128"/>
      <c r="E187" s="109"/>
      <c r="F187" s="10" t="s">
        <v>396</v>
      </c>
      <c r="G187" s="111" t="s">
        <v>201</v>
      </c>
      <c r="H187" s="8" t="s">
        <v>397</v>
      </c>
      <c r="I187" s="8" t="s">
        <v>199</v>
      </c>
      <c r="J187" s="7"/>
      <c r="K187" s="7"/>
      <c r="L187" s="6" t="s">
        <v>198</v>
      </c>
    </row>
    <row r="188" spans="1:12">
      <c r="A188" s="122"/>
      <c r="B188" s="128"/>
      <c r="C188" s="128"/>
      <c r="D188" s="128"/>
      <c r="E188" s="109"/>
      <c r="F188" s="10" t="s">
        <v>396</v>
      </c>
      <c r="G188" s="111"/>
      <c r="H188" s="8" t="s">
        <v>395</v>
      </c>
      <c r="I188" s="8" t="s">
        <v>195</v>
      </c>
      <c r="J188" s="7"/>
      <c r="K188" s="7"/>
      <c r="L188" s="6" t="s">
        <v>194</v>
      </c>
    </row>
    <row r="189" spans="1:12">
      <c r="A189" s="122"/>
      <c r="B189" s="128"/>
      <c r="C189" s="128"/>
      <c r="D189" s="128"/>
      <c r="E189" s="109"/>
      <c r="F189" s="10" t="s">
        <v>391</v>
      </c>
      <c r="G189" s="111" t="s">
        <v>193</v>
      </c>
      <c r="H189" s="8" t="s">
        <v>394</v>
      </c>
      <c r="I189" s="8" t="s">
        <v>191</v>
      </c>
      <c r="J189" s="7"/>
      <c r="K189" s="7"/>
      <c r="L189" s="6" t="s">
        <v>190</v>
      </c>
    </row>
    <row r="190" spans="1:12">
      <c r="A190" s="122"/>
      <c r="B190" s="128"/>
      <c r="C190" s="128"/>
      <c r="D190" s="128"/>
      <c r="E190" s="109"/>
      <c r="F190" s="10" t="s">
        <v>391</v>
      </c>
      <c r="G190" s="111"/>
      <c r="H190" s="8" t="s">
        <v>393</v>
      </c>
      <c r="I190" s="8" t="s">
        <v>188</v>
      </c>
      <c r="J190" s="7"/>
      <c r="K190" s="7"/>
      <c r="L190" s="6" t="s">
        <v>187</v>
      </c>
    </row>
    <row r="191" spans="1:12">
      <c r="A191" s="122"/>
      <c r="B191" s="128"/>
      <c r="C191" s="128"/>
      <c r="D191" s="128"/>
      <c r="E191" s="109"/>
      <c r="F191" s="10" t="s">
        <v>391</v>
      </c>
      <c r="G191" s="111"/>
      <c r="H191" s="8" t="s">
        <v>392</v>
      </c>
      <c r="I191" s="8" t="s">
        <v>184</v>
      </c>
      <c r="J191" s="7"/>
      <c r="K191" s="7"/>
      <c r="L191" s="6" t="s">
        <v>183</v>
      </c>
    </row>
    <row r="192" spans="1:12">
      <c r="A192" s="122"/>
      <c r="B192" s="128"/>
      <c r="C192" s="128"/>
      <c r="D192" s="128"/>
      <c r="E192" s="109"/>
      <c r="F192" s="10" t="s">
        <v>391</v>
      </c>
      <c r="G192" s="111"/>
      <c r="H192" s="8" t="s">
        <v>390</v>
      </c>
      <c r="I192" s="8" t="s">
        <v>389</v>
      </c>
      <c r="J192" s="7"/>
      <c r="K192" s="7"/>
      <c r="L192" s="6"/>
    </row>
    <row r="193" spans="1:12">
      <c r="A193" s="122"/>
      <c r="B193" s="128"/>
      <c r="C193" s="128"/>
      <c r="D193" s="128"/>
      <c r="E193" s="109"/>
      <c r="F193" s="10" t="s">
        <v>387</v>
      </c>
      <c r="G193" s="105" t="s">
        <v>181</v>
      </c>
      <c r="H193" s="8" t="s">
        <v>388</v>
      </c>
      <c r="I193" s="8" t="s">
        <v>181</v>
      </c>
      <c r="J193" s="7"/>
      <c r="K193" s="7"/>
      <c r="L193" s="6" t="s">
        <v>180</v>
      </c>
    </row>
    <row r="194" spans="1:12">
      <c r="A194" s="122"/>
      <c r="B194" s="128"/>
      <c r="C194" s="128"/>
      <c r="D194" s="128"/>
      <c r="E194" s="109"/>
      <c r="F194" s="10" t="s">
        <v>387</v>
      </c>
      <c r="G194" s="106"/>
      <c r="H194" s="8" t="s">
        <v>386</v>
      </c>
      <c r="I194" s="8" t="s">
        <v>385</v>
      </c>
      <c r="J194" s="7"/>
      <c r="K194" s="7"/>
      <c r="L194" s="6"/>
    </row>
    <row r="195" spans="1:12">
      <c r="A195" s="122"/>
      <c r="B195" s="128"/>
      <c r="C195" s="128"/>
      <c r="D195" s="128"/>
      <c r="E195" s="109"/>
      <c r="F195" s="10" t="s">
        <v>384</v>
      </c>
      <c r="G195" s="8" t="s">
        <v>177</v>
      </c>
      <c r="H195" s="8" t="s">
        <v>383</v>
      </c>
      <c r="I195" s="8" t="s">
        <v>177</v>
      </c>
      <c r="J195" s="7"/>
      <c r="K195" s="7"/>
      <c r="L195" s="6" t="s">
        <v>318</v>
      </c>
    </row>
    <row r="196" spans="1:12">
      <c r="A196" s="122"/>
      <c r="B196" s="128"/>
      <c r="C196" s="128"/>
      <c r="D196" s="128"/>
      <c r="E196" s="109"/>
      <c r="F196" s="10" t="s">
        <v>379</v>
      </c>
      <c r="G196" s="105" t="s">
        <v>382</v>
      </c>
      <c r="H196" s="10" t="s">
        <v>381</v>
      </c>
      <c r="I196" s="8" t="s">
        <v>380</v>
      </c>
      <c r="J196" s="7"/>
      <c r="K196" s="7"/>
      <c r="L196" s="6"/>
    </row>
    <row r="197" spans="1:12">
      <c r="A197" s="122"/>
      <c r="B197" s="128"/>
      <c r="C197" s="128"/>
      <c r="D197" s="128"/>
      <c r="E197" s="109"/>
      <c r="F197" s="10" t="s">
        <v>379</v>
      </c>
      <c r="G197" s="106"/>
      <c r="H197" s="10" t="s">
        <v>378</v>
      </c>
      <c r="I197" s="8" t="s">
        <v>377</v>
      </c>
      <c r="J197" s="7"/>
      <c r="K197" s="7"/>
      <c r="L197" s="6"/>
    </row>
    <row r="198" spans="1:12">
      <c r="A198" s="122"/>
      <c r="B198" s="128"/>
      <c r="C198" s="128"/>
      <c r="D198" s="128"/>
      <c r="E198" s="109"/>
      <c r="F198" s="10" t="s">
        <v>373</v>
      </c>
      <c r="G198" s="105" t="s">
        <v>376</v>
      </c>
      <c r="H198" s="10" t="s">
        <v>375</v>
      </c>
      <c r="I198" s="9" t="s">
        <v>374</v>
      </c>
      <c r="J198" s="19"/>
      <c r="K198" s="19"/>
      <c r="L198" s="6"/>
    </row>
    <row r="199" spans="1:12">
      <c r="A199" s="122"/>
      <c r="B199" s="112"/>
      <c r="C199" s="112"/>
      <c r="D199" s="112"/>
      <c r="E199" s="110"/>
      <c r="F199" s="10" t="s">
        <v>373</v>
      </c>
      <c r="G199" s="106"/>
      <c r="H199" s="10" t="s">
        <v>372</v>
      </c>
      <c r="I199" s="9" t="s">
        <v>371</v>
      </c>
      <c r="J199" s="19"/>
      <c r="K199" s="19"/>
      <c r="L199" s="6"/>
    </row>
    <row r="200" spans="1:12">
      <c r="A200" s="122"/>
      <c r="B200" s="103" t="s">
        <v>913</v>
      </c>
      <c r="C200" s="127" t="s">
        <v>8</v>
      </c>
      <c r="D200" s="103" t="s">
        <v>370</v>
      </c>
      <c r="E200" s="103" t="s">
        <v>369</v>
      </c>
      <c r="F200" s="10" t="s">
        <v>362</v>
      </c>
      <c r="G200" s="111" t="s">
        <v>309</v>
      </c>
      <c r="H200" s="8" t="s">
        <v>368</v>
      </c>
      <c r="I200" s="8" t="s">
        <v>307</v>
      </c>
      <c r="J200" s="7"/>
      <c r="K200" s="7"/>
      <c r="L200" s="6" t="s">
        <v>306</v>
      </c>
    </row>
    <row r="201" spans="1:12">
      <c r="A201" s="122"/>
      <c r="B201" s="103"/>
      <c r="C201" s="128"/>
      <c r="D201" s="103"/>
      <c r="E201" s="103"/>
      <c r="F201" s="10" t="s">
        <v>362</v>
      </c>
      <c r="G201" s="111"/>
      <c r="H201" s="8" t="s">
        <v>367</v>
      </c>
      <c r="I201" s="8" t="s">
        <v>304</v>
      </c>
      <c r="J201" s="7"/>
      <c r="K201" s="7"/>
      <c r="L201" s="6" t="s">
        <v>303</v>
      </c>
    </row>
    <row r="202" spans="1:12">
      <c r="A202" s="122"/>
      <c r="B202" s="103"/>
      <c r="C202" s="128"/>
      <c r="D202" s="103"/>
      <c r="E202" s="103"/>
      <c r="F202" s="10" t="s">
        <v>362</v>
      </c>
      <c r="G202" s="111"/>
      <c r="H202" s="8" t="s">
        <v>366</v>
      </c>
      <c r="I202" s="8" t="s">
        <v>301</v>
      </c>
      <c r="J202" s="7"/>
      <c r="K202" s="7"/>
      <c r="L202" s="6" t="s">
        <v>300</v>
      </c>
    </row>
    <row r="203" spans="1:12">
      <c r="A203" s="122"/>
      <c r="B203" s="103"/>
      <c r="C203" s="128"/>
      <c r="D203" s="103"/>
      <c r="E203" s="103"/>
      <c r="F203" s="10" t="s">
        <v>362</v>
      </c>
      <c r="G203" s="111"/>
      <c r="H203" s="8" t="s">
        <v>365</v>
      </c>
      <c r="I203" s="8" t="s">
        <v>298</v>
      </c>
      <c r="J203" s="7"/>
      <c r="K203" s="7"/>
      <c r="L203" s="6" t="s">
        <v>297</v>
      </c>
    </row>
    <row r="204" spans="1:12">
      <c r="A204" s="122"/>
      <c r="B204" s="103"/>
      <c r="C204" s="128"/>
      <c r="D204" s="103"/>
      <c r="E204" s="103"/>
      <c r="F204" s="10" t="s">
        <v>362</v>
      </c>
      <c r="G204" s="111"/>
      <c r="H204" s="8" t="s">
        <v>364</v>
      </c>
      <c r="I204" s="8" t="s">
        <v>295</v>
      </c>
      <c r="J204" s="7"/>
      <c r="K204" s="7"/>
      <c r="L204" s="6" t="s">
        <v>294</v>
      </c>
    </row>
    <row r="205" spans="1:12">
      <c r="A205" s="122"/>
      <c r="B205" s="103"/>
      <c r="C205" s="128"/>
      <c r="D205" s="103"/>
      <c r="E205" s="103"/>
      <c r="F205" s="10" t="s">
        <v>362</v>
      </c>
      <c r="G205" s="111"/>
      <c r="H205" s="8" t="s">
        <v>363</v>
      </c>
      <c r="I205" s="8" t="s">
        <v>292</v>
      </c>
      <c r="J205" s="7"/>
      <c r="K205" s="7"/>
      <c r="L205" s="6" t="s">
        <v>291</v>
      </c>
    </row>
    <row r="206" spans="1:12">
      <c r="A206" s="122"/>
      <c r="B206" s="103"/>
      <c r="C206" s="128"/>
      <c r="D206" s="103"/>
      <c r="E206" s="103"/>
      <c r="F206" s="10" t="s">
        <v>362</v>
      </c>
      <c r="G206" s="111"/>
      <c r="H206" s="8" t="s">
        <v>361</v>
      </c>
      <c r="I206" s="8" t="s">
        <v>288</v>
      </c>
      <c r="J206" s="7"/>
      <c r="K206" s="7"/>
      <c r="L206" s="6" t="s">
        <v>287</v>
      </c>
    </row>
    <row r="207" spans="1:12">
      <c r="A207" s="122"/>
      <c r="B207" s="103"/>
      <c r="C207" s="128"/>
      <c r="D207" s="103"/>
      <c r="E207" s="103"/>
      <c r="F207" s="10" t="s">
        <v>358</v>
      </c>
      <c r="G207" s="111" t="s">
        <v>286</v>
      </c>
      <c r="H207" s="8" t="s">
        <v>360</v>
      </c>
      <c r="I207" s="8" t="s">
        <v>284</v>
      </c>
      <c r="J207" s="7"/>
      <c r="K207" s="7"/>
      <c r="L207" s="6" t="s">
        <v>283</v>
      </c>
    </row>
    <row r="208" spans="1:12">
      <c r="A208" s="122"/>
      <c r="B208" s="103"/>
      <c r="C208" s="128"/>
      <c r="D208" s="103"/>
      <c r="E208" s="103"/>
      <c r="F208" s="10" t="s">
        <v>358</v>
      </c>
      <c r="G208" s="111"/>
      <c r="H208" s="8" t="s">
        <v>359</v>
      </c>
      <c r="I208" s="8" t="s">
        <v>281</v>
      </c>
      <c r="J208" s="7"/>
      <c r="K208" s="7"/>
      <c r="L208" s="6" t="s">
        <v>280</v>
      </c>
    </row>
    <row r="209" spans="1:12">
      <c r="A209" s="122"/>
      <c r="B209" s="103"/>
      <c r="C209" s="128"/>
      <c r="D209" s="103"/>
      <c r="E209" s="103"/>
      <c r="F209" s="10" t="s">
        <v>358</v>
      </c>
      <c r="G209" s="111"/>
      <c r="H209" s="8" t="s">
        <v>357</v>
      </c>
      <c r="I209" s="8" t="s">
        <v>277</v>
      </c>
      <c r="J209" s="7"/>
      <c r="K209" s="7"/>
      <c r="L209" s="6" t="s">
        <v>276</v>
      </c>
    </row>
    <row r="210" spans="1:12">
      <c r="A210" s="122"/>
      <c r="B210" s="103"/>
      <c r="C210" s="128"/>
      <c r="D210" s="103"/>
      <c r="E210" s="103"/>
      <c r="F210" s="10" t="s">
        <v>355</v>
      </c>
      <c r="G210" s="111" t="s">
        <v>275</v>
      </c>
      <c r="H210" s="8" t="s">
        <v>356</v>
      </c>
      <c r="I210" s="8" t="s">
        <v>273</v>
      </c>
      <c r="J210" s="7"/>
      <c r="K210" s="7"/>
      <c r="L210" s="6" t="s">
        <v>272</v>
      </c>
    </row>
    <row r="211" spans="1:12">
      <c r="A211" s="122"/>
      <c r="B211" s="103"/>
      <c r="C211" s="128"/>
      <c r="D211" s="103"/>
      <c r="E211" s="103"/>
      <c r="F211" s="10" t="s">
        <v>355</v>
      </c>
      <c r="G211" s="111"/>
      <c r="H211" s="8" t="s">
        <v>354</v>
      </c>
      <c r="I211" s="8" t="s">
        <v>269</v>
      </c>
      <c r="J211" s="7"/>
      <c r="K211" s="7"/>
      <c r="L211" s="6" t="s">
        <v>268</v>
      </c>
    </row>
    <row r="212" spans="1:12">
      <c r="A212" s="122"/>
      <c r="B212" s="103"/>
      <c r="C212" s="128"/>
      <c r="D212" s="103"/>
      <c r="E212" s="103"/>
      <c r="F212" s="10" t="s">
        <v>352</v>
      </c>
      <c r="G212" s="111" t="s">
        <v>267</v>
      </c>
      <c r="H212" s="8" t="s">
        <v>353</v>
      </c>
      <c r="I212" s="8" t="s">
        <v>265</v>
      </c>
      <c r="J212" s="7"/>
      <c r="K212" s="7"/>
      <c r="L212" s="6" t="s">
        <v>264</v>
      </c>
    </row>
    <row r="213" spans="1:12">
      <c r="A213" s="122"/>
      <c r="B213" s="103"/>
      <c r="C213" s="128"/>
      <c r="D213" s="103"/>
      <c r="E213" s="103"/>
      <c r="F213" s="10" t="s">
        <v>352</v>
      </c>
      <c r="G213" s="111"/>
      <c r="H213" s="8" t="s">
        <v>351</v>
      </c>
      <c r="I213" s="8" t="s">
        <v>261</v>
      </c>
      <c r="J213" s="7"/>
      <c r="K213" s="7"/>
      <c r="L213" s="6" t="s">
        <v>260</v>
      </c>
    </row>
    <row r="214" spans="1:12">
      <c r="A214" s="122"/>
      <c r="B214" s="103"/>
      <c r="C214" s="128"/>
      <c r="D214" s="103"/>
      <c r="E214" s="103"/>
      <c r="F214" s="10" t="s">
        <v>348</v>
      </c>
      <c r="G214" s="111" t="s">
        <v>259</v>
      </c>
      <c r="H214" s="8" t="s">
        <v>350</v>
      </c>
      <c r="I214" s="8" t="s">
        <v>257</v>
      </c>
      <c r="J214" s="7"/>
      <c r="K214" s="7"/>
      <c r="L214" s="6" t="s">
        <v>256</v>
      </c>
    </row>
    <row r="215" spans="1:12">
      <c r="A215" s="122"/>
      <c r="B215" s="103"/>
      <c r="C215" s="128"/>
      <c r="D215" s="103"/>
      <c r="E215" s="103"/>
      <c r="F215" s="10" t="s">
        <v>348</v>
      </c>
      <c r="G215" s="111"/>
      <c r="H215" s="8" t="s">
        <v>349</v>
      </c>
      <c r="I215" s="8" t="s">
        <v>254</v>
      </c>
      <c r="J215" s="7"/>
      <c r="K215" s="7"/>
      <c r="L215" s="6" t="s">
        <v>253</v>
      </c>
    </row>
    <row r="216" spans="1:12">
      <c r="A216" s="122"/>
      <c r="B216" s="103"/>
      <c r="C216" s="128"/>
      <c r="D216" s="103"/>
      <c r="E216" s="103"/>
      <c r="F216" s="10" t="s">
        <v>348</v>
      </c>
      <c r="G216" s="111"/>
      <c r="H216" s="8" t="s">
        <v>347</v>
      </c>
      <c r="I216" s="8" t="s">
        <v>251</v>
      </c>
      <c r="J216" s="7"/>
      <c r="K216" s="7"/>
      <c r="L216" s="6" t="s">
        <v>250</v>
      </c>
    </row>
    <row r="217" spans="1:12">
      <c r="A217" s="122"/>
      <c r="B217" s="103"/>
      <c r="C217" s="128"/>
      <c r="D217" s="103"/>
      <c r="E217" s="103"/>
      <c r="F217" s="10" t="s">
        <v>342</v>
      </c>
      <c r="G217" s="111" t="s">
        <v>246</v>
      </c>
      <c r="H217" s="8" t="s">
        <v>346</v>
      </c>
      <c r="I217" s="8" t="s">
        <v>244</v>
      </c>
      <c r="J217" s="7"/>
      <c r="K217" s="7"/>
      <c r="L217" s="6" t="s">
        <v>243</v>
      </c>
    </row>
    <row r="218" spans="1:12">
      <c r="A218" s="122"/>
      <c r="B218" s="103"/>
      <c r="C218" s="128"/>
      <c r="D218" s="103"/>
      <c r="E218" s="103"/>
      <c r="F218" s="10" t="s">
        <v>342</v>
      </c>
      <c r="G218" s="111"/>
      <c r="H218" s="8" t="s">
        <v>345</v>
      </c>
      <c r="I218" s="8" t="s">
        <v>241</v>
      </c>
      <c r="J218" s="7"/>
      <c r="K218" s="7"/>
      <c r="L218" s="6" t="s">
        <v>240</v>
      </c>
    </row>
    <row r="219" spans="1:12">
      <c r="A219" s="122"/>
      <c r="B219" s="103"/>
      <c r="C219" s="128"/>
      <c r="D219" s="103"/>
      <c r="E219" s="103"/>
      <c r="F219" s="10" t="s">
        <v>342</v>
      </c>
      <c r="G219" s="111"/>
      <c r="H219" s="8" t="s">
        <v>344</v>
      </c>
      <c r="I219" s="8" t="s">
        <v>238</v>
      </c>
      <c r="J219" s="7"/>
      <c r="K219" s="7"/>
      <c r="L219" s="6" t="s">
        <v>237</v>
      </c>
    </row>
    <row r="220" spans="1:12">
      <c r="A220" s="122"/>
      <c r="B220" s="103"/>
      <c r="C220" s="128"/>
      <c r="D220" s="103"/>
      <c r="E220" s="103"/>
      <c r="F220" s="10" t="s">
        <v>342</v>
      </c>
      <c r="G220" s="111"/>
      <c r="H220" s="8" t="s">
        <v>343</v>
      </c>
      <c r="I220" s="8" t="s">
        <v>235</v>
      </c>
      <c r="J220" s="7"/>
      <c r="K220" s="7"/>
      <c r="L220" s="6" t="s">
        <v>231</v>
      </c>
    </row>
    <row r="221" spans="1:12">
      <c r="A221" s="122"/>
      <c r="B221" s="103"/>
      <c r="C221" s="128"/>
      <c r="D221" s="103"/>
      <c r="E221" s="103"/>
      <c r="F221" s="10" t="s">
        <v>342</v>
      </c>
      <c r="G221" s="18"/>
      <c r="H221" s="8" t="s">
        <v>341</v>
      </c>
      <c r="I221" s="8" t="s">
        <v>340</v>
      </c>
      <c r="J221" s="8"/>
      <c r="K221" s="8"/>
      <c r="L221" s="8" t="s">
        <v>339</v>
      </c>
    </row>
    <row r="222" spans="1:12">
      <c r="A222" s="122"/>
      <c r="B222" s="103"/>
      <c r="C222" s="128"/>
      <c r="D222" s="103"/>
      <c r="E222" s="103"/>
      <c r="F222" s="10" t="s">
        <v>333</v>
      </c>
      <c r="G222" s="111" t="s">
        <v>230</v>
      </c>
      <c r="H222" s="8" t="s">
        <v>338</v>
      </c>
      <c r="I222" s="8" t="s">
        <v>228</v>
      </c>
      <c r="J222" s="7"/>
      <c r="K222" s="7"/>
      <c r="L222" s="6" t="s">
        <v>227</v>
      </c>
    </row>
    <row r="223" spans="1:12">
      <c r="A223" s="122"/>
      <c r="B223" s="103"/>
      <c r="C223" s="128"/>
      <c r="D223" s="103"/>
      <c r="E223" s="103"/>
      <c r="F223" s="10" t="s">
        <v>333</v>
      </c>
      <c r="G223" s="111"/>
      <c r="H223" s="8" t="s">
        <v>337</v>
      </c>
      <c r="I223" s="8" t="s">
        <v>225</v>
      </c>
      <c r="J223" s="7"/>
      <c r="K223" s="7"/>
      <c r="L223" s="6" t="s">
        <v>224</v>
      </c>
    </row>
    <row r="224" spans="1:12">
      <c r="A224" s="122"/>
      <c r="B224" s="103"/>
      <c r="C224" s="128"/>
      <c r="D224" s="103"/>
      <c r="E224" s="103"/>
      <c r="F224" s="10" t="s">
        <v>333</v>
      </c>
      <c r="G224" s="111"/>
      <c r="H224" s="8" t="s">
        <v>336</v>
      </c>
      <c r="I224" s="8" t="s">
        <v>222</v>
      </c>
      <c r="J224" s="7"/>
      <c r="K224" s="7"/>
      <c r="L224" s="6" t="s">
        <v>221</v>
      </c>
    </row>
    <row r="225" spans="1:12">
      <c r="A225" s="122"/>
      <c r="B225" s="103"/>
      <c r="C225" s="128"/>
      <c r="D225" s="103"/>
      <c r="E225" s="103"/>
      <c r="F225" s="10" t="s">
        <v>333</v>
      </c>
      <c r="G225" s="111"/>
      <c r="H225" s="8" t="s">
        <v>335</v>
      </c>
      <c r="I225" s="8" t="s">
        <v>219</v>
      </c>
      <c r="J225" s="7"/>
      <c r="K225" s="7"/>
      <c r="L225" s="6" t="s">
        <v>216</v>
      </c>
    </row>
    <row r="226" spans="1:12">
      <c r="A226" s="122"/>
      <c r="B226" s="103"/>
      <c r="C226" s="128"/>
      <c r="D226" s="103"/>
      <c r="E226" s="103"/>
      <c r="F226" s="10" t="s">
        <v>333</v>
      </c>
      <c r="G226" s="111"/>
      <c r="H226" s="8" t="s">
        <v>334</v>
      </c>
      <c r="I226" s="8" t="s">
        <v>217</v>
      </c>
      <c r="J226" s="7"/>
      <c r="K226" s="7"/>
      <c r="L226" s="6" t="s">
        <v>216</v>
      </c>
    </row>
    <row r="227" spans="1:12">
      <c r="A227" s="122"/>
      <c r="B227" s="103"/>
      <c r="C227" s="128"/>
      <c r="D227" s="103"/>
      <c r="E227" s="103"/>
      <c r="F227" s="10" t="s">
        <v>333</v>
      </c>
      <c r="G227" s="111"/>
      <c r="H227" s="8" t="s">
        <v>332</v>
      </c>
      <c r="I227" s="8" t="s">
        <v>213</v>
      </c>
      <c r="J227" s="7"/>
      <c r="K227" s="7"/>
      <c r="L227" s="6"/>
    </row>
    <row r="228" spans="1:12">
      <c r="A228" s="122"/>
      <c r="B228" s="103"/>
      <c r="C228" s="128"/>
      <c r="D228" s="103"/>
      <c r="E228" s="103"/>
      <c r="F228" s="10" t="s">
        <v>329</v>
      </c>
      <c r="G228" s="111" t="s">
        <v>212</v>
      </c>
      <c r="H228" s="8" t="s">
        <v>331</v>
      </c>
      <c r="I228" s="8" t="s">
        <v>210</v>
      </c>
      <c r="J228" s="7"/>
      <c r="K228" s="7"/>
      <c r="L228" s="6" t="s">
        <v>209</v>
      </c>
    </row>
    <row r="229" spans="1:12">
      <c r="A229" s="122"/>
      <c r="B229" s="103"/>
      <c r="C229" s="128"/>
      <c r="D229" s="103"/>
      <c r="E229" s="103"/>
      <c r="F229" s="10" t="s">
        <v>329</v>
      </c>
      <c r="G229" s="111"/>
      <c r="H229" s="8" t="s">
        <v>330</v>
      </c>
      <c r="I229" s="8" t="s">
        <v>207</v>
      </c>
      <c r="J229" s="7"/>
      <c r="K229" s="7"/>
      <c r="L229" s="6" t="s">
        <v>206</v>
      </c>
    </row>
    <row r="230" spans="1:12">
      <c r="A230" s="122"/>
      <c r="B230" s="103"/>
      <c r="C230" s="128"/>
      <c r="D230" s="103"/>
      <c r="E230" s="103"/>
      <c r="F230" s="10" t="s">
        <v>329</v>
      </c>
      <c r="G230" s="111"/>
      <c r="H230" s="8" t="s">
        <v>328</v>
      </c>
      <c r="I230" s="8" t="s">
        <v>203</v>
      </c>
      <c r="J230" s="7"/>
      <c r="K230" s="7"/>
      <c r="L230" s="6" t="s">
        <v>202</v>
      </c>
    </row>
    <row r="231" spans="1:12">
      <c r="A231" s="122"/>
      <c r="B231" s="103"/>
      <c r="C231" s="128"/>
      <c r="D231" s="103"/>
      <c r="E231" s="103"/>
      <c r="F231" s="10" t="s">
        <v>326</v>
      </c>
      <c r="G231" s="111" t="s">
        <v>201</v>
      </c>
      <c r="H231" s="8" t="s">
        <v>327</v>
      </c>
      <c r="I231" s="8" t="s">
        <v>199</v>
      </c>
      <c r="J231" s="7"/>
      <c r="K231" s="7"/>
      <c r="L231" s="6" t="s">
        <v>198</v>
      </c>
    </row>
    <row r="232" spans="1:12">
      <c r="A232" s="122"/>
      <c r="B232" s="103"/>
      <c r="C232" s="128"/>
      <c r="D232" s="103"/>
      <c r="E232" s="103"/>
      <c r="F232" s="10" t="s">
        <v>326</v>
      </c>
      <c r="G232" s="111"/>
      <c r="H232" s="8" t="s">
        <v>325</v>
      </c>
      <c r="I232" s="8" t="s">
        <v>195</v>
      </c>
      <c r="J232" s="7"/>
      <c r="K232" s="7"/>
      <c r="L232" s="6" t="s">
        <v>194</v>
      </c>
    </row>
    <row r="233" spans="1:12">
      <c r="A233" s="122"/>
      <c r="B233" s="103"/>
      <c r="C233" s="128"/>
      <c r="D233" s="103"/>
      <c r="E233" s="103"/>
      <c r="F233" s="10" t="s">
        <v>322</v>
      </c>
      <c r="G233" s="111" t="s">
        <v>193</v>
      </c>
      <c r="H233" s="8" t="s">
        <v>324</v>
      </c>
      <c r="I233" s="8" t="s">
        <v>191</v>
      </c>
      <c r="J233" s="7"/>
      <c r="K233" s="7"/>
      <c r="L233" s="6" t="s">
        <v>190</v>
      </c>
    </row>
    <row r="234" spans="1:12">
      <c r="A234" s="122"/>
      <c r="B234" s="103"/>
      <c r="C234" s="128"/>
      <c r="D234" s="103"/>
      <c r="E234" s="103"/>
      <c r="F234" s="10" t="s">
        <v>322</v>
      </c>
      <c r="G234" s="111"/>
      <c r="H234" s="8" t="s">
        <v>323</v>
      </c>
      <c r="I234" s="8" t="s">
        <v>188</v>
      </c>
      <c r="J234" s="7"/>
      <c r="K234" s="7"/>
      <c r="L234" s="6" t="s">
        <v>187</v>
      </c>
    </row>
    <row r="235" spans="1:12">
      <c r="A235" s="122"/>
      <c r="B235" s="103"/>
      <c r="C235" s="128"/>
      <c r="D235" s="103"/>
      <c r="E235" s="103"/>
      <c r="F235" s="10" t="s">
        <v>322</v>
      </c>
      <c r="G235" s="111"/>
      <c r="H235" s="8" t="s">
        <v>321</v>
      </c>
      <c r="I235" s="8" t="s">
        <v>184</v>
      </c>
      <c r="J235" s="7"/>
      <c r="K235" s="7"/>
      <c r="L235" s="6" t="s">
        <v>183</v>
      </c>
    </row>
    <row r="236" spans="1:12">
      <c r="A236" s="122"/>
      <c r="B236" s="103"/>
      <c r="C236" s="128"/>
      <c r="D236" s="103"/>
      <c r="E236" s="103"/>
      <c r="F236" s="10" t="s">
        <v>317</v>
      </c>
      <c r="G236" s="8" t="s">
        <v>181</v>
      </c>
      <c r="H236" s="8" t="s">
        <v>320</v>
      </c>
      <c r="I236" s="8" t="s">
        <v>181</v>
      </c>
      <c r="J236" s="7"/>
      <c r="K236" s="7"/>
      <c r="L236" s="6" t="s">
        <v>180</v>
      </c>
    </row>
    <row r="237" spans="1:12">
      <c r="A237" s="122"/>
      <c r="B237" s="103"/>
      <c r="C237" s="128"/>
      <c r="D237" s="103"/>
      <c r="E237" s="103"/>
      <c r="F237" s="10" t="s">
        <v>317</v>
      </c>
      <c r="G237" s="8"/>
      <c r="H237" s="8" t="s">
        <v>319</v>
      </c>
      <c r="I237" s="8" t="s">
        <v>177</v>
      </c>
      <c r="J237" s="7"/>
      <c r="K237" s="7"/>
      <c r="L237" s="6" t="s">
        <v>318</v>
      </c>
    </row>
    <row r="238" spans="1:12">
      <c r="A238" s="122"/>
      <c r="B238" s="103"/>
      <c r="C238" s="112"/>
      <c r="D238" s="103"/>
      <c r="E238" s="103"/>
      <c r="F238" s="10" t="s">
        <v>317</v>
      </c>
      <c r="G238" s="8"/>
      <c r="H238" s="8" t="s">
        <v>316</v>
      </c>
      <c r="I238" s="8" t="s">
        <v>315</v>
      </c>
      <c r="J238" s="7"/>
      <c r="K238" s="7"/>
      <c r="L238" s="6" t="s">
        <v>315</v>
      </c>
    </row>
    <row r="239" spans="1:12">
      <c r="A239" s="122"/>
      <c r="B239" s="17"/>
      <c r="C239" s="17"/>
      <c r="D239" s="17"/>
      <c r="E239" s="17"/>
      <c r="F239" s="10"/>
      <c r="G239" s="8"/>
      <c r="H239" s="8" t="s">
        <v>314</v>
      </c>
      <c r="I239" s="8" t="s">
        <v>313</v>
      </c>
      <c r="J239" s="8"/>
      <c r="K239" s="8"/>
      <c r="L239" s="8" t="s">
        <v>312</v>
      </c>
    </row>
    <row r="240" spans="1:12">
      <c r="A240" s="122"/>
      <c r="B240" s="103" t="s">
        <v>913</v>
      </c>
      <c r="C240" s="127" t="s">
        <v>8</v>
      </c>
      <c r="D240" s="103" t="s">
        <v>311</v>
      </c>
      <c r="E240" s="103" t="s">
        <v>310</v>
      </c>
      <c r="F240" s="10" t="s">
        <v>290</v>
      </c>
      <c r="G240" s="111" t="s">
        <v>309</v>
      </c>
      <c r="H240" s="8" t="s">
        <v>308</v>
      </c>
      <c r="I240" s="8" t="s">
        <v>307</v>
      </c>
      <c r="J240" s="7"/>
      <c r="K240" s="7"/>
      <c r="L240" s="6" t="s">
        <v>306</v>
      </c>
    </row>
    <row r="241" spans="1:12">
      <c r="A241" s="122"/>
      <c r="B241" s="103"/>
      <c r="C241" s="128"/>
      <c r="D241" s="103"/>
      <c r="E241" s="103"/>
      <c r="F241" s="10" t="s">
        <v>290</v>
      </c>
      <c r="G241" s="111"/>
      <c r="H241" s="8" t="s">
        <v>305</v>
      </c>
      <c r="I241" s="8" t="s">
        <v>304</v>
      </c>
      <c r="J241" s="7"/>
      <c r="K241" s="7"/>
      <c r="L241" s="6" t="s">
        <v>303</v>
      </c>
    </row>
    <row r="242" spans="1:12">
      <c r="A242" s="122"/>
      <c r="B242" s="103"/>
      <c r="C242" s="128"/>
      <c r="D242" s="103"/>
      <c r="E242" s="103"/>
      <c r="F242" s="10" t="s">
        <v>290</v>
      </c>
      <c r="G242" s="111"/>
      <c r="H242" s="8" t="s">
        <v>302</v>
      </c>
      <c r="I242" s="8" t="s">
        <v>301</v>
      </c>
      <c r="J242" s="7"/>
      <c r="K242" s="7"/>
      <c r="L242" s="6" t="s">
        <v>300</v>
      </c>
    </row>
    <row r="243" spans="1:12">
      <c r="A243" s="122"/>
      <c r="B243" s="103"/>
      <c r="C243" s="128"/>
      <c r="D243" s="103"/>
      <c r="E243" s="103"/>
      <c r="F243" s="10" t="s">
        <v>290</v>
      </c>
      <c r="G243" s="111"/>
      <c r="H243" s="8" t="s">
        <v>299</v>
      </c>
      <c r="I243" s="8" t="s">
        <v>298</v>
      </c>
      <c r="J243" s="7"/>
      <c r="K243" s="7"/>
      <c r="L243" s="6" t="s">
        <v>297</v>
      </c>
    </row>
    <row r="244" spans="1:12">
      <c r="A244" s="122"/>
      <c r="B244" s="103"/>
      <c r="C244" s="128"/>
      <c r="D244" s="103"/>
      <c r="E244" s="103"/>
      <c r="F244" s="10" t="s">
        <v>290</v>
      </c>
      <c r="G244" s="111"/>
      <c r="H244" s="8" t="s">
        <v>296</v>
      </c>
      <c r="I244" s="8" t="s">
        <v>295</v>
      </c>
      <c r="J244" s="7"/>
      <c r="K244" s="7"/>
      <c r="L244" s="6" t="s">
        <v>294</v>
      </c>
    </row>
    <row r="245" spans="1:12">
      <c r="A245" s="122"/>
      <c r="B245" s="103"/>
      <c r="C245" s="128"/>
      <c r="D245" s="103"/>
      <c r="E245" s="103"/>
      <c r="F245" s="10" t="s">
        <v>290</v>
      </c>
      <c r="G245" s="111"/>
      <c r="H245" s="8" t="s">
        <v>293</v>
      </c>
      <c r="I245" s="8" t="s">
        <v>292</v>
      </c>
      <c r="J245" s="7"/>
      <c r="K245" s="7"/>
      <c r="L245" s="6" t="s">
        <v>291</v>
      </c>
    </row>
    <row r="246" spans="1:12">
      <c r="A246" s="122"/>
      <c r="B246" s="103"/>
      <c r="C246" s="128"/>
      <c r="D246" s="103"/>
      <c r="E246" s="103"/>
      <c r="F246" s="10" t="s">
        <v>290</v>
      </c>
      <c r="G246" s="111"/>
      <c r="H246" s="8" t="s">
        <v>289</v>
      </c>
      <c r="I246" s="8" t="s">
        <v>288</v>
      </c>
      <c r="J246" s="7"/>
      <c r="K246" s="7"/>
      <c r="L246" s="6" t="s">
        <v>287</v>
      </c>
    </row>
    <row r="247" spans="1:12">
      <c r="A247" s="122"/>
      <c r="B247" s="103"/>
      <c r="C247" s="128"/>
      <c r="D247" s="103"/>
      <c r="E247" s="103"/>
      <c r="F247" s="10" t="s">
        <v>279</v>
      </c>
      <c r="G247" s="111" t="s">
        <v>286</v>
      </c>
      <c r="H247" s="8" t="s">
        <v>285</v>
      </c>
      <c r="I247" s="8" t="s">
        <v>284</v>
      </c>
      <c r="J247" s="7"/>
      <c r="K247" s="7"/>
      <c r="L247" s="6" t="s">
        <v>283</v>
      </c>
    </row>
    <row r="248" spans="1:12">
      <c r="A248" s="122"/>
      <c r="B248" s="103"/>
      <c r="C248" s="128"/>
      <c r="D248" s="103"/>
      <c r="E248" s="103"/>
      <c r="F248" s="10" t="s">
        <v>279</v>
      </c>
      <c r="G248" s="111"/>
      <c r="H248" s="8" t="s">
        <v>282</v>
      </c>
      <c r="I248" s="8" t="s">
        <v>281</v>
      </c>
      <c r="J248" s="7"/>
      <c r="K248" s="7"/>
      <c r="L248" s="6" t="s">
        <v>280</v>
      </c>
    </row>
    <row r="249" spans="1:12">
      <c r="A249" s="122"/>
      <c r="B249" s="103"/>
      <c r="C249" s="128"/>
      <c r="D249" s="103"/>
      <c r="E249" s="103"/>
      <c r="F249" s="10" t="s">
        <v>279</v>
      </c>
      <c r="G249" s="111"/>
      <c r="H249" s="8" t="s">
        <v>278</v>
      </c>
      <c r="I249" s="8" t="s">
        <v>277</v>
      </c>
      <c r="J249" s="7"/>
      <c r="K249" s="7"/>
      <c r="L249" s="6" t="s">
        <v>276</v>
      </c>
    </row>
    <row r="250" spans="1:12">
      <c r="A250" s="122"/>
      <c r="B250" s="103"/>
      <c r="C250" s="128"/>
      <c r="D250" s="103"/>
      <c r="E250" s="103"/>
      <c r="F250" s="10" t="s">
        <v>271</v>
      </c>
      <c r="G250" s="111" t="s">
        <v>275</v>
      </c>
      <c r="H250" s="8" t="s">
        <v>274</v>
      </c>
      <c r="I250" s="8" t="s">
        <v>273</v>
      </c>
      <c r="J250" s="7"/>
      <c r="K250" s="7"/>
      <c r="L250" s="6" t="s">
        <v>272</v>
      </c>
    </row>
    <row r="251" spans="1:12">
      <c r="A251" s="122"/>
      <c r="B251" s="103"/>
      <c r="C251" s="128"/>
      <c r="D251" s="103"/>
      <c r="E251" s="103"/>
      <c r="F251" s="10" t="s">
        <v>271</v>
      </c>
      <c r="G251" s="111"/>
      <c r="H251" s="8" t="s">
        <v>270</v>
      </c>
      <c r="I251" s="8" t="s">
        <v>269</v>
      </c>
      <c r="J251" s="7"/>
      <c r="K251" s="7"/>
      <c r="L251" s="6" t="s">
        <v>268</v>
      </c>
    </row>
    <row r="252" spans="1:12">
      <c r="A252" s="122"/>
      <c r="B252" s="103"/>
      <c r="C252" s="128"/>
      <c r="D252" s="103"/>
      <c r="E252" s="103"/>
      <c r="F252" s="10" t="s">
        <v>263</v>
      </c>
      <c r="G252" s="111" t="s">
        <v>267</v>
      </c>
      <c r="H252" s="8" t="s">
        <v>266</v>
      </c>
      <c r="I252" s="8" t="s">
        <v>265</v>
      </c>
      <c r="J252" s="7"/>
      <c r="K252" s="7"/>
      <c r="L252" s="6" t="s">
        <v>264</v>
      </c>
    </row>
    <row r="253" spans="1:12">
      <c r="A253" s="122"/>
      <c r="B253" s="103"/>
      <c r="C253" s="128"/>
      <c r="D253" s="103"/>
      <c r="E253" s="103"/>
      <c r="F253" s="10" t="s">
        <v>263</v>
      </c>
      <c r="G253" s="111"/>
      <c r="H253" s="8" t="s">
        <v>262</v>
      </c>
      <c r="I253" s="8" t="s">
        <v>261</v>
      </c>
      <c r="J253" s="7"/>
      <c r="K253" s="7"/>
      <c r="L253" s="6" t="s">
        <v>260</v>
      </c>
    </row>
    <row r="254" spans="1:12">
      <c r="A254" s="122"/>
      <c r="B254" s="103"/>
      <c r="C254" s="128"/>
      <c r="D254" s="103"/>
      <c r="E254" s="103"/>
      <c r="F254" s="10" t="s">
        <v>249</v>
      </c>
      <c r="G254" s="111" t="s">
        <v>259</v>
      </c>
      <c r="H254" s="8" t="s">
        <v>258</v>
      </c>
      <c r="I254" s="8" t="s">
        <v>257</v>
      </c>
      <c r="J254" s="7"/>
      <c r="K254" s="7"/>
      <c r="L254" s="6" t="s">
        <v>256</v>
      </c>
    </row>
    <row r="255" spans="1:12">
      <c r="A255" s="122"/>
      <c r="B255" s="103"/>
      <c r="C255" s="128"/>
      <c r="D255" s="103"/>
      <c r="E255" s="103"/>
      <c r="F255" s="10" t="s">
        <v>249</v>
      </c>
      <c r="G255" s="111"/>
      <c r="H255" s="8" t="s">
        <v>255</v>
      </c>
      <c r="I255" s="8" t="s">
        <v>254</v>
      </c>
      <c r="J255" s="7"/>
      <c r="K255" s="7"/>
      <c r="L255" s="6" t="s">
        <v>253</v>
      </c>
    </row>
    <row r="256" spans="1:12">
      <c r="A256" s="122"/>
      <c r="B256" s="103"/>
      <c r="C256" s="128"/>
      <c r="D256" s="103"/>
      <c r="E256" s="103"/>
      <c r="F256" s="10" t="s">
        <v>249</v>
      </c>
      <c r="G256" s="111"/>
      <c r="H256" s="8" t="s">
        <v>252</v>
      </c>
      <c r="I256" s="8" t="s">
        <v>251</v>
      </c>
      <c r="J256" s="7"/>
      <c r="K256" s="7"/>
      <c r="L256" s="6" t="s">
        <v>250</v>
      </c>
    </row>
    <row r="257" spans="1:12">
      <c r="A257" s="122"/>
      <c r="B257" s="103"/>
      <c r="C257" s="128"/>
      <c r="D257" s="103"/>
      <c r="E257" s="103"/>
      <c r="F257" s="10" t="s">
        <v>249</v>
      </c>
      <c r="G257" s="18"/>
      <c r="H257" s="8" t="s">
        <v>248</v>
      </c>
      <c r="I257" s="8" t="s">
        <v>247</v>
      </c>
      <c r="J257" s="7"/>
      <c r="K257" s="7"/>
      <c r="L257" s="6"/>
    </row>
    <row r="258" spans="1:12">
      <c r="A258" s="122"/>
      <c r="B258" s="103"/>
      <c r="C258" s="128"/>
      <c r="D258" s="103"/>
      <c r="E258" s="103"/>
      <c r="F258" s="10" t="s">
        <v>234</v>
      </c>
      <c r="G258" s="111" t="s">
        <v>246</v>
      </c>
      <c r="H258" s="8" t="s">
        <v>245</v>
      </c>
      <c r="I258" s="8" t="s">
        <v>244</v>
      </c>
      <c r="J258" s="7"/>
      <c r="K258" s="7"/>
      <c r="L258" s="6" t="s">
        <v>243</v>
      </c>
    </row>
    <row r="259" spans="1:12">
      <c r="A259" s="122"/>
      <c r="B259" s="103"/>
      <c r="C259" s="128"/>
      <c r="D259" s="103"/>
      <c r="E259" s="103"/>
      <c r="F259" s="10" t="s">
        <v>234</v>
      </c>
      <c r="G259" s="111"/>
      <c r="H259" s="8" t="s">
        <v>242</v>
      </c>
      <c r="I259" s="8" t="s">
        <v>241</v>
      </c>
      <c r="J259" s="7"/>
      <c r="K259" s="7"/>
      <c r="L259" s="6" t="s">
        <v>240</v>
      </c>
    </row>
    <row r="260" spans="1:12">
      <c r="A260" s="122"/>
      <c r="B260" s="103"/>
      <c r="C260" s="128"/>
      <c r="D260" s="103"/>
      <c r="E260" s="103"/>
      <c r="F260" s="10" t="s">
        <v>234</v>
      </c>
      <c r="G260" s="111"/>
      <c r="H260" s="8" t="s">
        <v>239</v>
      </c>
      <c r="I260" s="8" t="s">
        <v>238</v>
      </c>
      <c r="J260" s="7"/>
      <c r="K260" s="7"/>
      <c r="L260" s="6" t="s">
        <v>237</v>
      </c>
    </row>
    <row r="261" spans="1:12">
      <c r="A261" s="122"/>
      <c r="B261" s="103"/>
      <c r="C261" s="128"/>
      <c r="D261" s="103"/>
      <c r="E261" s="103"/>
      <c r="F261" s="10" t="s">
        <v>234</v>
      </c>
      <c r="G261" s="111"/>
      <c r="H261" s="8" t="s">
        <v>236</v>
      </c>
      <c r="I261" s="8" t="s">
        <v>235</v>
      </c>
      <c r="J261" s="7"/>
      <c r="K261" s="7"/>
      <c r="L261" s="6" t="s">
        <v>231</v>
      </c>
    </row>
    <row r="262" spans="1:12">
      <c r="A262" s="122"/>
      <c r="B262" s="103"/>
      <c r="C262" s="128"/>
      <c r="D262" s="103"/>
      <c r="E262" s="103"/>
      <c r="F262" s="10" t="s">
        <v>234</v>
      </c>
      <c r="G262" s="111"/>
      <c r="H262" s="8" t="s">
        <v>233</v>
      </c>
      <c r="I262" s="8" t="s">
        <v>232</v>
      </c>
      <c r="J262" s="7"/>
      <c r="K262" s="7"/>
      <c r="L262" s="6" t="s">
        <v>231</v>
      </c>
    </row>
    <row r="263" spans="1:12">
      <c r="A263" s="122"/>
      <c r="B263" s="103"/>
      <c r="C263" s="128"/>
      <c r="D263" s="103"/>
      <c r="E263" s="103"/>
      <c r="F263" s="10" t="s">
        <v>215</v>
      </c>
      <c r="G263" s="111" t="s">
        <v>230</v>
      </c>
      <c r="H263" s="8" t="s">
        <v>229</v>
      </c>
      <c r="I263" s="8" t="s">
        <v>228</v>
      </c>
      <c r="J263" s="7"/>
      <c r="K263" s="7"/>
      <c r="L263" s="6" t="s">
        <v>227</v>
      </c>
    </row>
    <row r="264" spans="1:12">
      <c r="A264" s="122"/>
      <c r="B264" s="103"/>
      <c r="C264" s="128"/>
      <c r="D264" s="103"/>
      <c r="E264" s="103"/>
      <c r="F264" s="10" t="s">
        <v>215</v>
      </c>
      <c r="G264" s="111"/>
      <c r="H264" s="8" t="s">
        <v>226</v>
      </c>
      <c r="I264" s="8" t="s">
        <v>225</v>
      </c>
      <c r="J264" s="7"/>
      <c r="K264" s="7"/>
      <c r="L264" s="6" t="s">
        <v>224</v>
      </c>
    </row>
    <row r="265" spans="1:12">
      <c r="A265" s="122"/>
      <c r="B265" s="103"/>
      <c r="C265" s="128"/>
      <c r="D265" s="103"/>
      <c r="E265" s="103"/>
      <c r="F265" s="10" t="s">
        <v>215</v>
      </c>
      <c r="G265" s="111"/>
      <c r="H265" s="8" t="s">
        <v>223</v>
      </c>
      <c r="I265" s="8" t="s">
        <v>222</v>
      </c>
      <c r="J265" s="7"/>
      <c r="K265" s="7"/>
      <c r="L265" s="6" t="s">
        <v>221</v>
      </c>
    </row>
    <row r="266" spans="1:12">
      <c r="A266" s="122"/>
      <c r="B266" s="103"/>
      <c r="C266" s="128"/>
      <c r="D266" s="103"/>
      <c r="E266" s="103"/>
      <c r="F266" s="10" t="s">
        <v>215</v>
      </c>
      <c r="G266" s="111"/>
      <c r="H266" s="8" t="s">
        <v>220</v>
      </c>
      <c r="I266" s="8" t="s">
        <v>219</v>
      </c>
      <c r="J266" s="7"/>
      <c r="K266" s="7"/>
      <c r="L266" s="6" t="s">
        <v>216</v>
      </c>
    </row>
    <row r="267" spans="1:12">
      <c r="A267" s="122"/>
      <c r="B267" s="103"/>
      <c r="C267" s="128"/>
      <c r="D267" s="103"/>
      <c r="E267" s="103"/>
      <c r="F267" s="10" t="s">
        <v>215</v>
      </c>
      <c r="G267" s="111"/>
      <c r="H267" s="8" t="s">
        <v>218</v>
      </c>
      <c r="I267" s="8" t="s">
        <v>217</v>
      </c>
      <c r="J267" s="7"/>
      <c r="K267" s="7"/>
      <c r="L267" s="6" t="s">
        <v>216</v>
      </c>
    </row>
    <row r="268" spans="1:12">
      <c r="A268" s="122"/>
      <c r="B268" s="103"/>
      <c r="C268" s="128"/>
      <c r="D268" s="103"/>
      <c r="E268" s="103"/>
      <c r="F268" s="10" t="s">
        <v>215</v>
      </c>
      <c r="G268" s="18"/>
      <c r="H268" s="8" t="s">
        <v>214</v>
      </c>
      <c r="I268" s="8" t="s">
        <v>213</v>
      </c>
      <c r="J268" s="7"/>
      <c r="K268" s="7"/>
      <c r="L268" s="6"/>
    </row>
    <row r="269" spans="1:12">
      <c r="A269" s="122"/>
      <c r="B269" s="103"/>
      <c r="C269" s="128"/>
      <c r="D269" s="103"/>
      <c r="E269" s="103"/>
      <c r="F269" s="10" t="s">
        <v>205</v>
      </c>
      <c r="G269" s="111" t="s">
        <v>212</v>
      </c>
      <c r="H269" s="8" t="s">
        <v>211</v>
      </c>
      <c r="I269" s="8" t="s">
        <v>210</v>
      </c>
      <c r="J269" s="7"/>
      <c r="K269" s="7"/>
      <c r="L269" s="6" t="s">
        <v>209</v>
      </c>
    </row>
    <row r="270" spans="1:12">
      <c r="A270" s="122"/>
      <c r="B270" s="103"/>
      <c r="C270" s="128"/>
      <c r="D270" s="103"/>
      <c r="E270" s="103"/>
      <c r="F270" s="10" t="s">
        <v>205</v>
      </c>
      <c r="G270" s="111"/>
      <c r="H270" s="8" t="s">
        <v>208</v>
      </c>
      <c r="I270" s="8" t="s">
        <v>207</v>
      </c>
      <c r="J270" s="7"/>
      <c r="K270" s="7"/>
      <c r="L270" s="6" t="s">
        <v>206</v>
      </c>
    </row>
    <row r="271" spans="1:12">
      <c r="A271" s="122"/>
      <c r="B271" s="103"/>
      <c r="C271" s="128"/>
      <c r="D271" s="103"/>
      <c r="E271" s="103"/>
      <c r="F271" s="10" t="s">
        <v>205</v>
      </c>
      <c r="G271" s="111"/>
      <c r="H271" s="8" t="s">
        <v>204</v>
      </c>
      <c r="I271" s="8" t="s">
        <v>203</v>
      </c>
      <c r="J271" s="7"/>
      <c r="K271" s="7"/>
      <c r="L271" s="6" t="s">
        <v>202</v>
      </c>
    </row>
    <row r="272" spans="1:12">
      <c r="A272" s="122"/>
      <c r="B272" s="103"/>
      <c r="C272" s="128"/>
      <c r="D272" s="103"/>
      <c r="E272" s="103"/>
      <c r="F272" s="10" t="s">
        <v>197</v>
      </c>
      <c r="G272" s="111" t="s">
        <v>201</v>
      </c>
      <c r="H272" s="8" t="s">
        <v>200</v>
      </c>
      <c r="I272" s="8" t="s">
        <v>199</v>
      </c>
      <c r="J272" s="7"/>
      <c r="K272" s="7"/>
      <c r="L272" s="6" t="s">
        <v>198</v>
      </c>
    </row>
    <row r="273" spans="1:12">
      <c r="A273" s="122"/>
      <c r="B273" s="103"/>
      <c r="C273" s="128"/>
      <c r="D273" s="103"/>
      <c r="E273" s="103"/>
      <c r="F273" s="10" t="s">
        <v>197</v>
      </c>
      <c r="G273" s="111"/>
      <c r="H273" s="8" t="s">
        <v>196</v>
      </c>
      <c r="I273" s="8" t="s">
        <v>195</v>
      </c>
      <c r="J273" s="7"/>
      <c r="K273" s="7"/>
      <c r="L273" s="6" t="s">
        <v>194</v>
      </c>
    </row>
    <row r="274" spans="1:12">
      <c r="A274" s="122"/>
      <c r="B274" s="103"/>
      <c r="C274" s="128"/>
      <c r="D274" s="103"/>
      <c r="E274" s="103"/>
      <c r="F274" s="10" t="s">
        <v>186</v>
      </c>
      <c r="G274" s="111" t="s">
        <v>193</v>
      </c>
      <c r="H274" s="8" t="s">
        <v>192</v>
      </c>
      <c r="I274" s="8" t="s">
        <v>191</v>
      </c>
      <c r="J274" s="7"/>
      <c r="K274" s="7"/>
      <c r="L274" s="6" t="s">
        <v>190</v>
      </c>
    </row>
    <row r="275" spans="1:12">
      <c r="A275" s="122"/>
      <c r="B275" s="103"/>
      <c r="C275" s="128"/>
      <c r="D275" s="103"/>
      <c r="E275" s="103"/>
      <c r="F275" s="10" t="s">
        <v>186</v>
      </c>
      <c r="G275" s="111"/>
      <c r="H275" s="8" t="s">
        <v>189</v>
      </c>
      <c r="I275" s="8" t="s">
        <v>188</v>
      </c>
      <c r="J275" s="7"/>
      <c r="K275" s="7"/>
      <c r="L275" s="6" t="s">
        <v>187</v>
      </c>
    </row>
    <row r="276" spans="1:12">
      <c r="A276" s="122"/>
      <c r="B276" s="103"/>
      <c r="C276" s="128"/>
      <c r="D276" s="103"/>
      <c r="E276" s="103"/>
      <c r="F276" s="10" t="s">
        <v>186</v>
      </c>
      <c r="G276" s="111"/>
      <c r="H276" s="8" t="s">
        <v>185</v>
      </c>
      <c r="I276" s="8" t="s">
        <v>184</v>
      </c>
      <c r="J276" s="7"/>
      <c r="K276" s="7"/>
      <c r="L276" s="6" t="s">
        <v>183</v>
      </c>
    </row>
    <row r="277" spans="1:12">
      <c r="A277" s="122"/>
      <c r="B277" s="103"/>
      <c r="C277" s="128"/>
      <c r="D277" s="103"/>
      <c r="E277" s="103"/>
      <c r="F277" s="10" t="s">
        <v>179</v>
      </c>
      <c r="G277" s="108" t="s">
        <v>181</v>
      </c>
      <c r="H277" s="8" t="s">
        <v>182</v>
      </c>
      <c r="I277" s="8" t="s">
        <v>181</v>
      </c>
      <c r="J277" s="7"/>
      <c r="K277" s="7"/>
      <c r="L277" s="6" t="s">
        <v>180</v>
      </c>
    </row>
    <row r="278" spans="1:12" ht="14.4" thickBot="1">
      <c r="A278" s="123"/>
      <c r="B278" s="104"/>
      <c r="C278" s="138"/>
      <c r="D278" s="104"/>
      <c r="E278" s="104"/>
      <c r="F278" s="16" t="s">
        <v>179</v>
      </c>
      <c r="G278" s="118"/>
      <c r="H278" s="15" t="s">
        <v>178</v>
      </c>
      <c r="I278" s="15" t="s">
        <v>177</v>
      </c>
      <c r="J278" s="14"/>
      <c r="K278" s="14"/>
      <c r="L278" s="13" t="s">
        <v>176</v>
      </c>
    </row>
    <row r="279" spans="1:12" ht="14.4" thickBot="1">
      <c r="A279" s="116"/>
      <c r="B279" s="116" t="s">
        <v>893</v>
      </c>
      <c r="C279" s="134" t="s">
        <v>8</v>
      </c>
      <c r="D279" s="116" t="s">
        <v>175</v>
      </c>
      <c r="E279" s="119" t="s">
        <v>174</v>
      </c>
      <c r="F279" s="134" t="s">
        <v>173</v>
      </c>
      <c r="G279" s="134" t="s">
        <v>172</v>
      </c>
      <c r="H279" s="12" t="s">
        <v>171</v>
      </c>
      <c r="I279" s="8" t="s">
        <v>170</v>
      </c>
      <c r="J279" s="11"/>
      <c r="K279" s="11"/>
      <c r="L279" s="11"/>
    </row>
    <row r="280" spans="1:12" ht="14.4" thickBot="1">
      <c r="A280" s="117"/>
      <c r="B280" s="117"/>
      <c r="C280" s="135"/>
      <c r="D280" s="117"/>
      <c r="E280" s="120"/>
      <c r="F280" s="135"/>
      <c r="G280" s="135"/>
      <c r="H280" s="12" t="s">
        <v>169</v>
      </c>
      <c r="I280" s="8" t="s">
        <v>168</v>
      </c>
      <c r="J280" s="4"/>
      <c r="K280" s="4"/>
      <c r="L280" s="4"/>
    </row>
    <row r="281" spans="1:12" ht="14.4" thickBot="1">
      <c r="A281" s="117"/>
      <c r="B281" s="117"/>
      <c r="C281" s="135"/>
      <c r="D281" s="117"/>
      <c r="E281" s="120"/>
      <c r="F281" s="135"/>
      <c r="G281" s="135"/>
      <c r="H281" s="12" t="s">
        <v>167</v>
      </c>
      <c r="I281" s="8" t="s">
        <v>166</v>
      </c>
      <c r="J281" s="4"/>
      <c r="K281" s="4"/>
      <c r="L281" s="4"/>
    </row>
    <row r="282" spans="1:12" ht="14.4" thickBot="1">
      <c r="A282" s="117"/>
      <c r="B282" s="117"/>
      <c r="C282" s="135"/>
      <c r="D282" s="117"/>
      <c r="E282" s="120"/>
      <c r="F282" s="135"/>
      <c r="G282" s="135"/>
      <c r="H282" s="12" t="s">
        <v>165</v>
      </c>
      <c r="I282" s="8" t="s">
        <v>164</v>
      </c>
      <c r="J282" s="4"/>
      <c r="K282" s="4"/>
      <c r="L282" s="4"/>
    </row>
    <row r="283" spans="1:12" ht="14.4" thickBot="1">
      <c r="A283" s="117"/>
      <c r="B283" s="117"/>
      <c r="C283" s="135"/>
      <c r="D283" s="117"/>
      <c r="E283" s="120"/>
      <c r="F283" s="135"/>
      <c r="G283" s="135"/>
      <c r="H283" s="12" t="s">
        <v>163</v>
      </c>
      <c r="I283" s="8" t="s">
        <v>162</v>
      </c>
      <c r="J283" s="4"/>
      <c r="K283" s="4"/>
      <c r="L283" s="4"/>
    </row>
    <row r="284" spans="1:12" ht="14.4" thickBot="1">
      <c r="A284" s="117"/>
      <c r="B284" s="117"/>
      <c r="C284" s="135"/>
      <c r="D284" s="117"/>
      <c r="E284" s="120"/>
      <c r="F284" s="135"/>
      <c r="G284" s="135"/>
      <c r="H284" s="12" t="s">
        <v>161</v>
      </c>
      <c r="I284" s="8" t="s">
        <v>160</v>
      </c>
      <c r="J284" s="4"/>
      <c r="K284" s="4"/>
      <c r="L284" s="4"/>
    </row>
    <row r="285" spans="1:12" ht="14.4" thickBot="1">
      <c r="A285" s="117"/>
      <c r="B285" s="117"/>
      <c r="C285" s="135"/>
      <c r="D285" s="117"/>
      <c r="E285" s="120"/>
      <c r="F285" s="135"/>
      <c r="G285" s="135"/>
      <c r="H285" s="12" t="s">
        <v>159</v>
      </c>
      <c r="I285" s="8" t="s">
        <v>158</v>
      </c>
      <c r="J285" s="4"/>
      <c r="K285" s="4"/>
      <c r="L285" s="4"/>
    </row>
    <row r="286" spans="1:12" ht="14.4" thickBot="1">
      <c r="A286" s="117"/>
      <c r="B286" s="117"/>
      <c r="C286" s="135"/>
      <c r="D286" s="117"/>
      <c r="E286" s="120"/>
      <c r="F286" s="135"/>
      <c r="G286" s="135"/>
      <c r="H286" s="12" t="s">
        <v>157</v>
      </c>
      <c r="I286" s="8" t="s">
        <v>156</v>
      </c>
      <c r="J286" s="4"/>
      <c r="K286" s="4"/>
      <c r="L286" s="4"/>
    </row>
    <row r="287" spans="1:12" ht="14.4" thickBot="1">
      <c r="A287" s="117"/>
      <c r="B287" s="117"/>
      <c r="C287" s="135"/>
      <c r="D287" s="117"/>
      <c r="E287" s="120"/>
      <c r="F287" s="135"/>
      <c r="G287" s="135"/>
      <c r="H287" s="12" t="s">
        <v>155</v>
      </c>
      <c r="I287" s="8" t="s">
        <v>154</v>
      </c>
      <c r="J287" s="4"/>
      <c r="K287" s="4"/>
      <c r="L287" s="4"/>
    </row>
    <row r="288" spans="1:12" ht="14.4" thickBot="1">
      <c r="A288" s="117"/>
      <c r="B288" s="117"/>
      <c r="C288" s="135"/>
      <c r="D288" s="117"/>
      <c r="E288" s="120"/>
      <c r="F288" s="136"/>
      <c r="G288" s="136"/>
      <c r="H288" s="12" t="s">
        <v>153</v>
      </c>
      <c r="I288" s="4" t="s">
        <v>152</v>
      </c>
      <c r="J288" s="4"/>
      <c r="K288" s="4"/>
      <c r="L288" s="4"/>
    </row>
    <row r="289" spans="1:12" ht="14.4" thickBot="1">
      <c r="A289" s="117"/>
      <c r="B289" s="117"/>
      <c r="C289" s="135"/>
      <c r="D289" s="117"/>
      <c r="E289" s="120"/>
      <c r="F289" s="133" t="s">
        <v>151</v>
      </c>
      <c r="G289" s="130" t="s">
        <v>150</v>
      </c>
      <c r="H289" s="12" t="s">
        <v>149</v>
      </c>
      <c r="I289" s="8" t="s">
        <v>148</v>
      </c>
      <c r="J289" s="4"/>
      <c r="K289" s="4"/>
      <c r="L289" s="4"/>
    </row>
    <row r="290" spans="1:12" ht="14.4" thickBot="1">
      <c r="A290" s="117"/>
      <c r="B290" s="117"/>
      <c r="C290" s="135"/>
      <c r="D290" s="117"/>
      <c r="E290" s="120"/>
      <c r="F290" s="109"/>
      <c r="G290" s="131"/>
      <c r="H290" s="12" t="s">
        <v>147</v>
      </c>
      <c r="I290" s="8" t="s">
        <v>146</v>
      </c>
      <c r="J290" s="4"/>
      <c r="K290" s="4"/>
      <c r="L290" s="4"/>
    </row>
    <row r="291" spans="1:12" ht="14.4" thickBot="1">
      <c r="A291" s="117"/>
      <c r="B291" s="117"/>
      <c r="C291" s="135"/>
      <c r="D291" s="117"/>
      <c r="E291" s="120"/>
      <c r="F291" s="109"/>
      <c r="G291" s="131"/>
      <c r="H291" s="12" t="s">
        <v>145</v>
      </c>
      <c r="I291" s="8" t="s">
        <v>144</v>
      </c>
      <c r="J291" s="4"/>
      <c r="K291" s="4"/>
      <c r="L291" s="4"/>
    </row>
    <row r="292" spans="1:12" ht="14.4" thickBot="1">
      <c r="A292" s="117"/>
      <c r="B292" s="117"/>
      <c r="C292" s="135"/>
      <c r="D292" s="117"/>
      <c r="E292" s="120"/>
      <c r="F292" s="109"/>
      <c r="G292" s="131"/>
      <c r="H292" s="12" t="s">
        <v>143</v>
      </c>
      <c r="I292" s="8" t="s">
        <v>142</v>
      </c>
      <c r="J292" s="4"/>
      <c r="K292" s="4"/>
      <c r="L292" s="4"/>
    </row>
    <row r="293" spans="1:12" ht="14.4" thickBot="1">
      <c r="A293" s="117"/>
      <c r="B293" s="117"/>
      <c r="C293" s="135"/>
      <c r="D293" s="117"/>
      <c r="E293" s="120"/>
      <c r="F293" s="109"/>
      <c r="G293" s="131"/>
      <c r="H293" s="12" t="s">
        <v>141</v>
      </c>
      <c r="I293" s="8" t="s">
        <v>140</v>
      </c>
      <c r="J293" s="4"/>
      <c r="K293" s="4"/>
      <c r="L293" s="4"/>
    </row>
    <row r="294" spans="1:12" ht="14.4" thickBot="1">
      <c r="A294" s="117"/>
      <c r="B294" s="117"/>
      <c r="C294" s="135"/>
      <c r="D294" s="117"/>
      <c r="E294" s="120"/>
      <c r="F294" s="109"/>
      <c r="G294" s="131"/>
      <c r="H294" s="12" t="s">
        <v>139</v>
      </c>
      <c r="I294" s="8" t="s">
        <v>138</v>
      </c>
      <c r="J294" s="4"/>
      <c r="K294" s="4"/>
      <c r="L294" s="4"/>
    </row>
    <row r="295" spans="1:12" ht="14.4" thickBot="1">
      <c r="A295" s="117"/>
      <c r="B295" s="117"/>
      <c r="C295" s="135"/>
      <c r="D295" s="117"/>
      <c r="E295" s="120"/>
      <c r="F295" s="109"/>
      <c r="G295" s="131"/>
      <c r="H295" s="12" t="s">
        <v>137</v>
      </c>
      <c r="I295" s="8" t="s">
        <v>136</v>
      </c>
      <c r="J295" s="4"/>
      <c r="K295" s="4"/>
      <c r="L295" s="4"/>
    </row>
    <row r="296" spans="1:12" ht="14.4" thickBot="1">
      <c r="A296" s="117"/>
      <c r="B296" s="117"/>
      <c r="C296" s="135"/>
      <c r="D296" s="117"/>
      <c r="E296" s="120"/>
      <c r="F296" s="109"/>
      <c r="G296" s="131"/>
      <c r="H296" s="12" t="s">
        <v>135</v>
      </c>
      <c r="I296" s="8" t="s">
        <v>134</v>
      </c>
      <c r="J296" s="4"/>
      <c r="K296" s="4"/>
      <c r="L296" s="4"/>
    </row>
    <row r="297" spans="1:12" ht="14.4" thickBot="1">
      <c r="A297" s="117"/>
      <c r="B297" s="117"/>
      <c r="C297" s="135"/>
      <c r="D297" s="117"/>
      <c r="E297" s="120"/>
      <c r="F297" s="109"/>
      <c r="G297" s="131"/>
      <c r="H297" s="12" t="s">
        <v>133</v>
      </c>
      <c r="I297" s="8" t="s">
        <v>132</v>
      </c>
      <c r="J297" s="4"/>
      <c r="K297" s="4"/>
      <c r="L297" s="4"/>
    </row>
    <row r="298" spans="1:12" ht="14.4" thickBot="1">
      <c r="A298" s="117"/>
      <c r="B298" s="117"/>
      <c r="C298" s="135"/>
      <c r="D298" s="117"/>
      <c r="E298" s="120"/>
      <c r="F298" s="109"/>
      <c r="G298" s="131"/>
      <c r="H298" s="12" t="s">
        <v>131</v>
      </c>
      <c r="I298" s="8" t="s">
        <v>130</v>
      </c>
      <c r="J298" s="4"/>
      <c r="K298" s="4"/>
      <c r="L298" s="4"/>
    </row>
    <row r="299" spans="1:12" ht="14.4" thickBot="1">
      <c r="A299" s="117"/>
      <c r="B299" s="117"/>
      <c r="C299" s="135"/>
      <c r="D299" s="117"/>
      <c r="E299" s="120"/>
      <c r="F299" s="109"/>
      <c r="G299" s="131"/>
      <c r="H299" s="12" t="s">
        <v>129</v>
      </c>
      <c r="I299" s="8" t="s">
        <v>128</v>
      </c>
      <c r="J299" s="4"/>
      <c r="K299" s="4"/>
      <c r="L299" s="4"/>
    </row>
    <row r="300" spans="1:12" ht="14.4" thickBot="1">
      <c r="A300" s="117"/>
      <c r="B300" s="117"/>
      <c r="C300" s="135"/>
      <c r="D300" s="117"/>
      <c r="E300" s="120"/>
      <c r="F300" s="109"/>
      <c r="G300" s="131"/>
      <c r="H300" s="12" t="s">
        <v>127</v>
      </c>
      <c r="I300" s="8" t="s">
        <v>126</v>
      </c>
      <c r="J300" s="4"/>
      <c r="K300" s="4"/>
      <c r="L300" s="4"/>
    </row>
    <row r="301" spans="1:12" ht="14.4" thickBot="1">
      <c r="A301" s="117"/>
      <c r="B301" s="117"/>
      <c r="C301" s="135"/>
      <c r="D301" s="117"/>
      <c r="E301" s="120"/>
      <c r="F301" s="109"/>
      <c r="G301" s="131"/>
      <c r="H301" s="12" t="s">
        <v>125</v>
      </c>
      <c r="I301" s="8" t="s">
        <v>124</v>
      </c>
      <c r="J301" s="4"/>
      <c r="K301" s="4"/>
      <c r="L301" s="4"/>
    </row>
    <row r="302" spans="1:12" ht="14.4" thickBot="1">
      <c r="A302" s="117"/>
      <c r="B302" s="117"/>
      <c r="C302" s="135"/>
      <c r="D302" s="117"/>
      <c r="E302" s="120"/>
      <c r="F302" s="109"/>
      <c r="G302" s="131"/>
      <c r="H302" s="12" t="s">
        <v>123</v>
      </c>
      <c r="I302" s="8" t="s">
        <v>122</v>
      </c>
      <c r="J302" s="4"/>
      <c r="K302" s="4"/>
      <c r="L302" s="4"/>
    </row>
    <row r="303" spans="1:12" ht="14.4" thickBot="1">
      <c r="A303" s="117"/>
      <c r="B303" s="117"/>
      <c r="C303" s="139"/>
      <c r="D303" s="117"/>
      <c r="E303" s="120"/>
      <c r="F303" s="110"/>
      <c r="G303" s="132"/>
      <c r="H303" s="12" t="s">
        <v>121</v>
      </c>
      <c r="I303" s="11" t="s">
        <v>120</v>
      </c>
      <c r="J303" s="4"/>
      <c r="K303" s="4"/>
      <c r="L303" s="2"/>
    </row>
    <row r="304" spans="1:12">
      <c r="A304" s="11"/>
      <c r="B304" s="105" t="s">
        <v>888</v>
      </c>
      <c r="C304" s="108" t="s">
        <v>8</v>
      </c>
      <c r="D304" s="105" t="s">
        <v>119</v>
      </c>
      <c r="E304" s="137" t="s">
        <v>118</v>
      </c>
      <c r="F304" s="10" t="s">
        <v>107</v>
      </c>
      <c r="G304" s="105" t="s">
        <v>117</v>
      </c>
      <c r="H304" s="8" t="s">
        <v>116</v>
      </c>
      <c r="I304" s="8" t="s">
        <v>115</v>
      </c>
      <c r="J304" s="7"/>
      <c r="K304" s="7"/>
      <c r="L304" s="6" t="s">
        <v>114</v>
      </c>
    </row>
    <row r="305" spans="1:12">
      <c r="A305" s="4"/>
      <c r="B305" s="107"/>
      <c r="C305" s="109"/>
      <c r="D305" s="107"/>
      <c r="E305" s="107"/>
      <c r="F305" s="10" t="s">
        <v>107</v>
      </c>
      <c r="G305" s="107"/>
      <c r="H305" s="8" t="s">
        <v>113</v>
      </c>
      <c r="I305" s="8" t="s">
        <v>112</v>
      </c>
      <c r="J305" s="7"/>
      <c r="K305" s="7"/>
      <c r="L305" s="6" t="s">
        <v>111</v>
      </c>
    </row>
    <row r="306" spans="1:12">
      <c r="A306" s="4"/>
      <c r="B306" s="107"/>
      <c r="C306" s="109"/>
      <c r="D306" s="107"/>
      <c r="E306" s="107"/>
      <c r="F306" s="10" t="s">
        <v>107</v>
      </c>
      <c r="G306" s="107"/>
      <c r="H306" s="8" t="s">
        <v>110</v>
      </c>
      <c r="I306" s="8" t="s">
        <v>109</v>
      </c>
      <c r="J306" s="7"/>
      <c r="K306" s="7"/>
      <c r="L306" s="6" t="s">
        <v>108</v>
      </c>
    </row>
    <row r="307" spans="1:12">
      <c r="A307" s="4"/>
      <c r="B307" s="106"/>
      <c r="C307" s="110"/>
      <c r="D307" s="106"/>
      <c r="E307" s="106"/>
      <c r="F307" s="10" t="s">
        <v>107</v>
      </c>
      <c r="G307" s="106"/>
      <c r="H307" s="8" t="s">
        <v>106</v>
      </c>
      <c r="I307" s="8" t="s">
        <v>105</v>
      </c>
      <c r="J307" s="7"/>
      <c r="K307" s="7"/>
      <c r="L307" s="6" t="s">
        <v>104</v>
      </c>
    </row>
    <row r="308" spans="1:12">
      <c r="A308" s="4"/>
      <c r="B308" s="5" t="s">
        <v>888</v>
      </c>
      <c r="C308" s="5" t="s">
        <v>8</v>
      </c>
      <c r="D308" s="5" t="s">
        <v>8</v>
      </c>
      <c r="E308" s="4" t="s">
        <v>103</v>
      </c>
      <c r="F308" s="5" t="s">
        <v>102</v>
      </c>
      <c r="G308" s="4" t="s">
        <v>101</v>
      </c>
      <c r="H308" s="5" t="s">
        <v>100</v>
      </c>
      <c r="I308" s="4"/>
      <c r="J308" s="4"/>
      <c r="K308" s="4"/>
      <c r="L308" s="4"/>
    </row>
    <row r="309" spans="1:12">
      <c r="A309" s="4"/>
      <c r="B309" s="5"/>
      <c r="C309" s="5"/>
      <c r="D309" s="5"/>
      <c r="E309" s="4"/>
      <c r="F309" s="5"/>
      <c r="G309" s="4"/>
      <c r="H309" s="5" t="s">
        <v>99</v>
      </c>
      <c r="I309" s="4"/>
      <c r="J309" s="4"/>
      <c r="K309" s="4"/>
      <c r="L309" s="4"/>
    </row>
    <row r="310" spans="1:12">
      <c r="A310" s="4"/>
      <c r="B310" s="5"/>
      <c r="C310" s="5"/>
      <c r="D310" s="5"/>
      <c r="E310" s="4"/>
      <c r="F310" s="5"/>
      <c r="G310" s="4"/>
      <c r="H310" s="5" t="s">
        <v>98</v>
      </c>
      <c r="I310" s="4"/>
      <c r="J310" s="4"/>
      <c r="K310" s="4"/>
      <c r="L310" s="4"/>
    </row>
    <row r="311" spans="1:12">
      <c r="A311" s="4"/>
      <c r="B311" s="5"/>
      <c r="C311" s="5"/>
      <c r="D311" s="5"/>
      <c r="E311" s="4"/>
      <c r="F311" s="5" t="s">
        <v>97</v>
      </c>
      <c r="G311" s="4" t="s">
        <v>96</v>
      </c>
      <c r="H311" s="5" t="s">
        <v>95</v>
      </c>
      <c r="I311" s="4"/>
      <c r="J311" s="4"/>
      <c r="K311" s="4"/>
      <c r="L311" s="4"/>
    </row>
    <row r="312" spans="1:12">
      <c r="A312" s="4"/>
      <c r="B312" s="5"/>
      <c r="C312" s="5"/>
      <c r="D312" s="5"/>
      <c r="E312" s="4"/>
      <c r="F312" s="5"/>
      <c r="G312" s="4"/>
      <c r="H312" s="5" t="s">
        <v>94</v>
      </c>
      <c r="I312" s="4"/>
      <c r="J312" s="4"/>
      <c r="K312" s="4"/>
      <c r="L312" s="4"/>
    </row>
    <row r="313" spans="1:12">
      <c r="A313" s="4"/>
      <c r="B313" s="5"/>
      <c r="C313" s="5"/>
      <c r="D313" s="5"/>
      <c r="E313" s="4"/>
      <c r="F313" s="5"/>
      <c r="G313" s="4"/>
      <c r="H313" s="5" t="s">
        <v>93</v>
      </c>
      <c r="I313" s="4"/>
      <c r="J313" s="4"/>
      <c r="K313" s="4"/>
      <c r="L313" s="4"/>
    </row>
    <row r="314" spans="1:12">
      <c r="A314" s="4"/>
      <c r="B314" s="5" t="s">
        <v>888</v>
      </c>
      <c r="C314" s="5" t="s">
        <v>8</v>
      </c>
      <c r="D314" s="5" t="s">
        <v>92</v>
      </c>
      <c r="E314" s="4" t="s">
        <v>91</v>
      </c>
      <c r="F314" s="5" t="s">
        <v>90</v>
      </c>
      <c r="G314" s="4" t="s">
        <v>89</v>
      </c>
      <c r="H314" s="5" t="s">
        <v>88</v>
      </c>
      <c r="I314" s="4" t="s">
        <v>87</v>
      </c>
      <c r="J314" s="4"/>
      <c r="K314" s="4"/>
      <c r="L314" s="4"/>
    </row>
    <row r="315" spans="1:12">
      <c r="A315" s="4"/>
      <c r="B315" s="5"/>
      <c r="C315" s="5"/>
      <c r="D315" s="5"/>
      <c r="E315" s="4"/>
      <c r="F315" s="5"/>
      <c r="G315" s="4"/>
      <c r="H315" s="5" t="s">
        <v>86</v>
      </c>
      <c r="I315" s="4" t="s">
        <v>85</v>
      </c>
      <c r="J315" s="4"/>
      <c r="K315" s="4"/>
      <c r="L315" s="4"/>
    </row>
    <row r="316" spans="1:12">
      <c r="A316" s="4"/>
      <c r="B316" s="5"/>
      <c r="C316" s="5"/>
      <c r="D316" s="5"/>
      <c r="E316" s="4"/>
      <c r="F316" s="5"/>
      <c r="G316" s="4"/>
      <c r="H316" s="5" t="s">
        <v>84</v>
      </c>
      <c r="I316" s="4" t="s">
        <v>83</v>
      </c>
      <c r="J316" s="4"/>
      <c r="K316" s="4"/>
      <c r="L316" s="4"/>
    </row>
    <row r="317" spans="1:12">
      <c r="A317" s="4"/>
      <c r="B317" s="5"/>
      <c r="C317" s="5"/>
      <c r="D317" s="5"/>
      <c r="E317" s="4"/>
      <c r="F317" s="5"/>
      <c r="G317" s="4"/>
      <c r="H317" s="5" t="s">
        <v>82</v>
      </c>
      <c r="I317" s="4" t="s">
        <v>81</v>
      </c>
      <c r="J317" s="4"/>
      <c r="K317" s="4"/>
      <c r="L317" s="4"/>
    </row>
    <row r="318" spans="1:12">
      <c r="A318" s="4"/>
      <c r="B318" s="5"/>
      <c r="C318" s="5"/>
      <c r="D318" s="5"/>
      <c r="E318" s="4"/>
      <c r="F318" s="5"/>
      <c r="G318" s="4"/>
      <c r="H318" s="5" t="s">
        <v>80</v>
      </c>
      <c r="I318" s="4" t="s">
        <v>79</v>
      </c>
      <c r="J318" s="4"/>
      <c r="K318" s="4"/>
      <c r="L318" s="4"/>
    </row>
    <row r="319" spans="1:12">
      <c r="A319" s="4"/>
      <c r="B319" s="5"/>
      <c r="C319" s="5"/>
      <c r="D319" s="5"/>
      <c r="E319" s="4"/>
      <c r="F319" s="5"/>
      <c r="G319" s="4"/>
      <c r="H319" s="5" t="s">
        <v>78</v>
      </c>
      <c r="I319" s="4" t="s">
        <v>77</v>
      </c>
      <c r="J319" s="4"/>
      <c r="K319" s="4"/>
      <c r="L319" s="4"/>
    </row>
    <row r="320" spans="1:12">
      <c r="A320" s="4"/>
      <c r="B320" s="5"/>
      <c r="C320" s="5"/>
      <c r="D320" s="5"/>
      <c r="E320" s="4"/>
      <c r="F320" s="5"/>
      <c r="G320" s="4"/>
      <c r="H320" s="5" t="s">
        <v>76</v>
      </c>
      <c r="I320" s="4" t="s">
        <v>75</v>
      </c>
      <c r="J320" s="4"/>
      <c r="K320" s="4"/>
      <c r="L320" s="4"/>
    </row>
    <row r="321" spans="1:12">
      <c r="A321" s="4"/>
      <c r="B321" s="5"/>
      <c r="C321" s="5"/>
      <c r="D321" s="5"/>
      <c r="E321" s="4"/>
      <c r="F321" s="5"/>
      <c r="G321" s="4"/>
      <c r="H321" s="5" t="s">
        <v>74</v>
      </c>
      <c r="I321" s="4" t="s">
        <v>73</v>
      </c>
      <c r="J321" s="4"/>
      <c r="K321" s="4"/>
      <c r="L321" s="4"/>
    </row>
    <row r="322" spans="1:12">
      <c r="A322" s="4"/>
      <c r="B322" s="5"/>
      <c r="C322" s="5"/>
      <c r="D322" s="5"/>
      <c r="E322" s="4"/>
      <c r="F322" s="5"/>
      <c r="G322" s="4"/>
      <c r="H322" s="5" t="s">
        <v>72</v>
      </c>
      <c r="I322" s="4" t="s">
        <v>71</v>
      </c>
      <c r="J322" s="4"/>
      <c r="K322" s="4"/>
      <c r="L322" s="4"/>
    </row>
    <row r="323" spans="1:12">
      <c r="A323" s="4"/>
      <c r="B323" s="5"/>
      <c r="C323" s="5"/>
      <c r="D323" s="5"/>
      <c r="E323" s="4"/>
      <c r="F323" s="5"/>
      <c r="G323" s="4"/>
      <c r="H323" s="5" t="s">
        <v>70</v>
      </c>
      <c r="I323" s="4" t="s">
        <v>69</v>
      </c>
      <c r="J323" s="4"/>
      <c r="K323" s="4"/>
      <c r="L323" s="4"/>
    </row>
    <row r="324" spans="1:12">
      <c r="A324" s="4"/>
      <c r="B324" s="5"/>
      <c r="C324" s="5"/>
      <c r="D324" s="5"/>
      <c r="E324" s="4"/>
      <c r="F324" s="5"/>
      <c r="G324" s="4"/>
      <c r="H324" s="5" t="s">
        <v>68</v>
      </c>
      <c r="I324" s="4" t="s">
        <v>67</v>
      </c>
      <c r="J324" s="4"/>
      <c r="K324" s="4"/>
      <c r="L324" s="4"/>
    </row>
    <row r="325" spans="1:12">
      <c r="A325" s="4"/>
      <c r="B325" s="5"/>
      <c r="C325" s="5"/>
      <c r="D325" s="5"/>
      <c r="E325" s="4"/>
      <c r="F325" s="5"/>
      <c r="G325" s="4"/>
      <c r="H325" s="5" t="s">
        <v>66</v>
      </c>
      <c r="I325" s="4" t="s">
        <v>65</v>
      </c>
      <c r="J325" s="4"/>
      <c r="K325" s="4"/>
      <c r="L325" s="4"/>
    </row>
    <row r="326" spans="1:12">
      <c r="A326" s="4"/>
      <c r="B326" s="5"/>
      <c r="C326" s="5"/>
      <c r="D326" s="5"/>
      <c r="E326" s="4"/>
      <c r="F326" s="5"/>
      <c r="G326" s="4"/>
      <c r="H326" s="5" t="s">
        <v>64</v>
      </c>
      <c r="I326" s="4" t="s">
        <v>63</v>
      </c>
      <c r="J326" s="4"/>
      <c r="K326" s="4"/>
      <c r="L326" s="4"/>
    </row>
    <row r="327" spans="1:12">
      <c r="A327" s="4"/>
      <c r="B327" s="5"/>
      <c r="C327" s="5"/>
      <c r="D327" s="5"/>
      <c r="E327" s="4"/>
      <c r="F327" s="5" t="s">
        <v>62</v>
      </c>
      <c r="G327" s="4" t="s">
        <v>61</v>
      </c>
      <c r="H327" s="5" t="s">
        <v>60</v>
      </c>
      <c r="I327" s="4" t="s">
        <v>59</v>
      </c>
      <c r="J327" s="4"/>
      <c r="K327" s="4"/>
      <c r="L327" s="4"/>
    </row>
    <row r="328" spans="1:12">
      <c r="A328" s="4"/>
      <c r="B328" s="5"/>
      <c r="C328" s="5"/>
      <c r="D328" s="5"/>
      <c r="E328" s="4"/>
      <c r="F328" s="5"/>
      <c r="G328" s="4"/>
      <c r="H328" s="5" t="s">
        <v>58</v>
      </c>
      <c r="I328" s="4" t="s">
        <v>57</v>
      </c>
      <c r="J328" s="4"/>
      <c r="K328" s="4"/>
      <c r="L328" s="4"/>
    </row>
    <row r="329" spans="1:12">
      <c r="A329" s="4"/>
      <c r="B329" s="5"/>
      <c r="C329" s="5"/>
      <c r="D329" s="5"/>
      <c r="E329" s="4"/>
      <c r="F329" s="5" t="s">
        <v>56</v>
      </c>
      <c r="G329" s="4" t="s">
        <v>55</v>
      </c>
      <c r="H329" s="5" t="s">
        <v>52</v>
      </c>
      <c r="I329" s="4" t="s">
        <v>54</v>
      </c>
      <c r="J329" s="4"/>
      <c r="K329" s="4"/>
      <c r="L329" s="4"/>
    </row>
    <row r="330" spans="1:12">
      <c r="A330" s="4"/>
      <c r="B330" s="5"/>
      <c r="C330" s="5"/>
      <c r="D330" s="5"/>
      <c r="E330" s="4"/>
      <c r="F330" s="5"/>
      <c r="G330" s="4"/>
      <c r="H330" s="5" t="s">
        <v>52</v>
      </c>
      <c r="I330" s="4" t="s">
        <v>53</v>
      </c>
      <c r="J330" s="4"/>
      <c r="K330" s="4"/>
      <c r="L330" s="4"/>
    </row>
    <row r="331" spans="1:12">
      <c r="A331" s="4"/>
      <c r="B331" s="5"/>
      <c r="C331" s="5"/>
      <c r="D331" s="5"/>
      <c r="E331" s="4"/>
      <c r="F331" s="5"/>
      <c r="G331" s="4"/>
      <c r="H331" s="5" t="s">
        <v>52</v>
      </c>
      <c r="I331" s="4" t="s">
        <v>51</v>
      </c>
      <c r="J331" s="4"/>
      <c r="K331" s="4"/>
      <c r="L331" s="4"/>
    </row>
    <row r="332" spans="1:12">
      <c r="A332" s="4"/>
      <c r="B332" s="5"/>
      <c r="C332" s="5"/>
      <c r="D332" s="5"/>
      <c r="E332" s="4"/>
      <c r="F332" s="5" t="s">
        <v>50</v>
      </c>
      <c r="G332" s="4" t="s">
        <v>49</v>
      </c>
      <c r="H332" s="5" t="s">
        <v>48</v>
      </c>
      <c r="I332" s="4" t="s">
        <v>47</v>
      </c>
      <c r="J332" s="4"/>
      <c r="K332" s="4"/>
      <c r="L332" s="4"/>
    </row>
    <row r="333" spans="1:12">
      <c r="A333" s="4"/>
      <c r="B333" s="5"/>
      <c r="C333" s="5"/>
      <c r="D333" s="5"/>
      <c r="E333" s="4"/>
      <c r="F333" s="5"/>
      <c r="G333" s="4"/>
      <c r="H333" s="5"/>
      <c r="I333" s="4"/>
      <c r="J333" s="4"/>
      <c r="K333" s="4"/>
      <c r="L333" s="4"/>
    </row>
    <row r="334" spans="1:12">
      <c r="A334" s="4"/>
      <c r="B334" s="5"/>
      <c r="C334" s="5"/>
      <c r="D334" s="5"/>
      <c r="E334" s="4"/>
      <c r="F334" s="5"/>
      <c r="G334" s="4"/>
      <c r="H334" s="5"/>
      <c r="I334" s="4"/>
      <c r="J334" s="4"/>
      <c r="K334" s="4"/>
      <c r="L334" s="4"/>
    </row>
    <row r="335" spans="1:12">
      <c r="A335" s="4"/>
      <c r="B335" s="5" t="s">
        <v>912</v>
      </c>
      <c r="C335" s="5" t="s">
        <v>8</v>
      </c>
      <c r="D335" s="5" t="s">
        <v>46</v>
      </c>
      <c r="E335" s="4" t="s">
        <v>45</v>
      </c>
      <c r="F335" s="5" t="s">
        <v>44</v>
      </c>
      <c r="G335" s="4" t="s">
        <v>43</v>
      </c>
      <c r="H335" s="5" t="s">
        <v>42</v>
      </c>
      <c r="I335" s="4" t="s">
        <v>41</v>
      </c>
      <c r="J335" s="4"/>
      <c r="K335" s="4"/>
      <c r="L335" s="4"/>
    </row>
    <row r="336" spans="1:12">
      <c r="A336" s="4"/>
      <c r="B336" s="5"/>
      <c r="C336" s="5"/>
      <c r="D336" s="5"/>
      <c r="E336" s="4"/>
      <c r="F336" s="5"/>
      <c r="G336" s="4"/>
      <c r="H336" s="4"/>
      <c r="I336" s="4"/>
      <c r="J336" s="4"/>
      <c r="K336" s="4"/>
      <c r="L336" s="4"/>
    </row>
    <row r="337" spans="1:12">
      <c r="A337" s="4"/>
      <c r="B337" s="5"/>
      <c r="C337" s="5"/>
      <c r="D337" s="5"/>
      <c r="E337" s="4"/>
      <c r="F337" s="5" t="s">
        <v>40</v>
      </c>
      <c r="G337" s="4" t="s">
        <v>39</v>
      </c>
      <c r="H337" s="5" t="s">
        <v>38</v>
      </c>
      <c r="I337" s="4" t="s">
        <v>37</v>
      </c>
      <c r="J337" s="4"/>
      <c r="K337" s="4"/>
      <c r="L337" s="4"/>
    </row>
    <row r="338" spans="1:12">
      <c r="A338" s="4"/>
      <c r="B338" s="5"/>
      <c r="C338" s="5"/>
      <c r="D338" s="5"/>
      <c r="E338" s="4"/>
      <c r="F338" s="5"/>
      <c r="G338" s="4"/>
      <c r="H338" s="5" t="s">
        <v>36</v>
      </c>
      <c r="I338" s="4" t="s">
        <v>35</v>
      </c>
      <c r="J338" s="4"/>
      <c r="K338" s="4"/>
      <c r="L338" s="4"/>
    </row>
    <row r="339" spans="1:12">
      <c r="A339" s="4"/>
      <c r="B339" s="5"/>
      <c r="C339" s="5"/>
      <c r="D339" s="5"/>
      <c r="E339" s="4"/>
      <c r="F339" s="5"/>
      <c r="G339" s="4"/>
      <c r="H339" s="5" t="s">
        <v>34</v>
      </c>
      <c r="I339" s="4" t="s">
        <v>33</v>
      </c>
      <c r="J339" s="4"/>
      <c r="K339" s="4"/>
      <c r="L339" s="4"/>
    </row>
    <row r="340" spans="1:12">
      <c r="A340" s="4"/>
      <c r="B340" s="5"/>
      <c r="C340" s="5"/>
      <c r="D340" s="5"/>
      <c r="E340" s="4"/>
      <c r="F340" s="5"/>
      <c r="G340" s="4"/>
      <c r="H340" s="5" t="s">
        <v>32</v>
      </c>
      <c r="I340" s="4" t="s">
        <v>31</v>
      </c>
      <c r="J340" s="4"/>
      <c r="K340" s="4"/>
      <c r="L340" s="4"/>
    </row>
    <row r="341" spans="1:12">
      <c r="A341" s="4"/>
      <c r="B341" s="5"/>
      <c r="C341" s="5"/>
      <c r="D341" s="5"/>
      <c r="E341" s="4"/>
      <c r="F341" s="5"/>
      <c r="G341" s="4"/>
      <c r="H341" s="5" t="s">
        <v>30</v>
      </c>
      <c r="I341" s="4" t="s">
        <v>29</v>
      </c>
      <c r="J341" s="4"/>
      <c r="K341" s="4"/>
      <c r="L341" s="4"/>
    </row>
    <row r="342" spans="1:12">
      <c r="A342" s="4"/>
      <c r="B342" s="5"/>
      <c r="C342" s="5"/>
      <c r="D342" s="5"/>
      <c r="E342" s="4"/>
      <c r="F342" s="5"/>
      <c r="G342" s="4"/>
      <c r="H342" s="5" t="s">
        <v>28</v>
      </c>
      <c r="I342" s="4" t="s">
        <v>27</v>
      </c>
      <c r="J342" s="4"/>
      <c r="K342" s="4"/>
      <c r="L342" s="4"/>
    </row>
    <row r="343" spans="1:12">
      <c r="A343" s="4"/>
      <c r="B343" s="5" t="s">
        <v>888</v>
      </c>
      <c r="C343" s="5" t="s">
        <v>8</v>
      </c>
      <c r="D343" s="5">
        <v>0</v>
      </c>
      <c r="E343" s="4" t="s">
        <v>25</v>
      </c>
      <c r="F343" s="5" t="s">
        <v>24</v>
      </c>
      <c r="G343" s="4" t="s">
        <v>23</v>
      </c>
      <c r="H343" s="5" t="s">
        <v>22</v>
      </c>
      <c r="I343" s="4" t="s">
        <v>21</v>
      </c>
      <c r="J343" s="4"/>
      <c r="K343" s="4"/>
      <c r="L343" s="4"/>
    </row>
    <row r="344" spans="1:12">
      <c r="A344" s="4"/>
      <c r="B344" s="5"/>
      <c r="C344" s="5"/>
      <c r="D344" s="5"/>
      <c r="E344" s="4"/>
      <c r="F344" s="5"/>
      <c r="G344" s="4"/>
      <c r="H344" s="5" t="s">
        <v>20</v>
      </c>
      <c r="I344" s="4" t="s">
        <v>19</v>
      </c>
      <c r="J344" s="4"/>
      <c r="K344" s="4"/>
      <c r="L344" s="4"/>
    </row>
    <row r="345" spans="1:12">
      <c r="A345" s="4"/>
      <c r="B345" s="5"/>
      <c r="C345" s="5"/>
      <c r="D345" s="5"/>
      <c r="E345" s="4"/>
      <c r="F345" s="5" t="s">
        <v>18</v>
      </c>
      <c r="G345" s="4" t="s">
        <v>17</v>
      </c>
      <c r="H345" s="5" t="s">
        <v>16</v>
      </c>
      <c r="I345" s="4" t="s">
        <v>15</v>
      </c>
      <c r="J345" s="4"/>
      <c r="K345" s="4"/>
      <c r="L345" s="4"/>
    </row>
    <row r="346" spans="1:12">
      <c r="A346" s="4"/>
      <c r="B346" s="5"/>
      <c r="C346" s="5"/>
      <c r="D346" s="5"/>
      <c r="E346" s="4"/>
      <c r="F346" s="5"/>
      <c r="G346" s="4"/>
      <c r="H346" s="5" t="s">
        <v>14</v>
      </c>
      <c r="I346" s="4" t="s">
        <v>13</v>
      </c>
      <c r="J346" s="4"/>
      <c r="K346" s="4"/>
      <c r="L346" s="4"/>
    </row>
    <row r="347" spans="1:12">
      <c r="A347" s="4"/>
      <c r="B347" s="5" t="s">
        <v>888</v>
      </c>
      <c r="C347" s="5" t="s">
        <v>8</v>
      </c>
      <c r="D347" s="5" t="s">
        <v>12</v>
      </c>
      <c r="E347" s="4" t="s">
        <v>11</v>
      </c>
      <c r="F347" s="5" t="s">
        <v>9</v>
      </c>
      <c r="G347" s="4" t="s">
        <v>10</v>
      </c>
      <c r="H347" s="5" t="s">
        <v>9</v>
      </c>
      <c r="I347" s="4"/>
      <c r="J347" s="4"/>
      <c r="K347" s="4"/>
      <c r="L347" s="4"/>
    </row>
    <row r="348" spans="1:12">
      <c r="A348" s="4"/>
      <c r="B348" s="5"/>
      <c r="C348" s="5"/>
      <c r="D348" s="5"/>
      <c r="E348" s="4"/>
      <c r="F348" s="5"/>
      <c r="G348" s="4"/>
      <c r="H348" s="5"/>
      <c r="I348" s="4"/>
      <c r="J348" s="4"/>
      <c r="K348" s="4"/>
      <c r="L348" s="4"/>
    </row>
    <row r="349" spans="1:12">
      <c r="A349" s="4"/>
      <c r="B349" s="5" t="s">
        <v>888</v>
      </c>
      <c r="C349" s="5" t="s">
        <v>8</v>
      </c>
      <c r="D349" s="5" t="s">
        <v>7</v>
      </c>
      <c r="E349" s="4" t="s">
        <v>6</v>
      </c>
      <c r="F349" s="5" t="s">
        <v>5</v>
      </c>
      <c r="G349" s="4" t="s">
        <v>4</v>
      </c>
      <c r="H349" s="5"/>
      <c r="I349" s="4"/>
      <c r="J349" s="4"/>
      <c r="K349" s="4"/>
      <c r="L349" s="4"/>
    </row>
    <row r="350" spans="1:12">
      <c r="A350" s="4"/>
      <c r="B350" s="5"/>
      <c r="C350" s="5"/>
      <c r="D350" s="5"/>
      <c r="E350" s="4"/>
      <c r="F350" s="5" t="s">
        <v>3</v>
      </c>
      <c r="G350" s="4" t="s">
        <v>2</v>
      </c>
      <c r="H350" s="5"/>
      <c r="I350" s="4"/>
      <c r="J350" s="4"/>
      <c r="K350" s="4"/>
      <c r="L350" s="4"/>
    </row>
    <row r="351" spans="1:12">
      <c r="A351" s="4"/>
      <c r="B351" s="5"/>
      <c r="C351" s="5"/>
      <c r="D351" s="5"/>
      <c r="E351" s="4"/>
      <c r="F351" s="5" t="s">
        <v>1</v>
      </c>
      <c r="G351" s="4" t="s">
        <v>0</v>
      </c>
      <c r="H351" s="5"/>
      <c r="I351" s="4"/>
      <c r="J351" s="4"/>
      <c r="K351" s="4"/>
      <c r="L351" s="4"/>
    </row>
    <row r="352" spans="1:12">
      <c r="A352" s="2"/>
      <c r="B352" s="3"/>
      <c r="C352" s="3"/>
      <c r="D352" s="3"/>
      <c r="E352" s="2"/>
      <c r="F352" s="3"/>
      <c r="G352" s="2"/>
      <c r="H352" s="2"/>
      <c r="I352" s="2"/>
      <c r="J352" s="2"/>
      <c r="K352" s="2"/>
      <c r="L352" s="2"/>
    </row>
  </sheetData>
  <mergeCells count="136">
    <mergeCell ref="B200:B238"/>
    <mergeCell ref="B240:B278"/>
    <mergeCell ref="B279:B303"/>
    <mergeCell ref="B304:B307"/>
    <mergeCell ref="C153:C199"/>
    <mergeCell ref="C200:C238"/>
    <mergeCell ref="C240:C278"/>
    <mergeCell ref="C13:C14"/>
    <mergeCell ref="C15:C16"/>
    <mergeCell ref="C17:C18"/>
    <mergeCell ref="C19:C20"/>
    <mergeCell ref="C21:C25"/>
    <mergeCell ref="C26:C101"/>
    <mergeCell ref="C279:C303"/>
    <mergeCell ref="C304:C307"/>
    <mergeCell ref="B21:B25"/>
    <mergeCell ref="B26:B101"/>
    <mergeCell ref="B102:B113"/>
    <mergeCell ref="B114:B145"/>
    <mergeCell ref="B146:B152"/>
    <mergeCell ref="B153:B199"/>
    <mergeCell ref="C102:C113"/>
    <mergeCell ref="C114:C145"/>
    <mergeCell ref="G114:G117"/>
    <mergeCell ref="G48:G51"/>
    <mergeCell ref="G52:G53"/>
    <mergeCell ref="D304:D307"/>
    <mergeCell ref="E114:E145"/>
    <mergeCell ref="D114:D145"/>
    <mergeCell ref="D153:D199"/>
    <mergeCell ref="G289:G303"/>
    <mergeCell ref="F289:F303"/>
    <mergeCell ref="F279:F288"/>
    <mergeCell ref="G279:G288"/>
    <mergeCell ref="E304:E307"/>
    <mergeCell ref="G304:G307"/>
    <mergeCell ref="E200:E238"/>
    <mergeCell ref="G272:G273"/>
    <mergeCell ref="G274:G276"/>
    <mergeCell ref="G228:G230"/>
    <mergeCell ref="G231:G232"/>
    <mergeCell ref="G233:G235"/>
    <mergeCell ref="G189:G192"/>
    <mergeCell ref="G162:G164"/>
    <mergeCell ref="G165:G166"/>
    <mergeCell ref="G193:G194"/>
    <mergeCell ref="E146:E152"/>
    <mergeCell ref="A4:A20"/>
    <mergeCell ref="E4:E6"/>
    <mergeCell ref="E7:E9"/>
    <mergeCell ref="E13:E14"/>
    <mergeCell ref="E17:E18"/>
    <mergeCell ref="E19:E20"/>
    <mergeCell ref="G167:G168"/>
    <mergeCell ref="G169:G171"/>
    <mergeCell ref="G139:G142"/>
    <mergeCell ref="D146:D152"/>
    <mergeCell ref="C146:C152"/>
    <mergeCell ref="B19:B20"/>
    <mergeCell ref="C4:C6"/>
    <mergeCell ref="C7:C9"/>
    <mergeCell ref="C10:C12"/>
    <mergeCell ref="G10:G12"/>
    <mergeCell ref="D10:D12"/>
    <mergeCell ref="B4:B6"/>
    <mergeCell ref="B7:B9"/>
    <mergeCell ref="B10:B12"/>
    <mergeCell ref="B13:B14"/>
    <mergeCell ref="B15:B16"/>
    <mergeCell ref="B17:B18"/>
    <mergeCell ref="D4:D6"/>
    <mergeCell ref="D7:D9"/>
    <mergeCell ref="D13:D14"/>
    <mergeCell ref="D19:D20"/>
    <mergeCell ref="E10:E12"/>
    <mergeCell ref="D15:D16"/>
    <mergeCell ref="E15:E16"/>
    <mergeCell ref="D17:D18"/>
    <mergeCell ref="A279:A303"/>
    <mergeCell ref="G277:G278"/>
    <mergeCell ref="G153:G161"/>
    <mergeCell ref="E153:E199"/>
    <mergeCell ref="G198:G199"/>
    <mergeCell ref="E279:E303"/>
    <mergeCell ref="D279:D303"/>
    <mergeCell ref="A21:A278"/>
    <mergeCell ref="G240:G246"/>
    <mergeCell ref="G106:G107"/>
    <mergeCell ref="G102:G105"/>
    <mergeCell ref="G26:G40"/>
    <mergeCell ref="G59:G68"/>
    <mergeCell ref="G69:G77"/>
    <mergeCell ref="G78:G83"/>
    <mergeCell ref="G87:G91"/>
    <mergeCell ref="G41:G47"/>
    <mergeCell ref="D21:D25"/>
    <mergeCell ref="D102:D113"/>
    <mergeCell ref="E102:E113"/>
    <mergeCell ref="G92:G95"/>
    <mergeCell ref="E26:E101"/>
    <mergeCell ref="D26:D101"/>
    <mergeCell ref="G96:G98"/>
    <mergeCell ref="G84:G86"/>
    <mergeCell ref="G247:G249"/>
    <mergeCell ref="G54:G58"/>
    <mergeCell ref="G212:G213"/>
    <mergeCell ref="G214:G216"/>
    <mergeCell ref="G217:G220"/>
    <mergeCell ref="G222:G227"/>
    <mergeCell ref="G111:G113"/>
    <mergeCell ref="E21:E25"/>
    <mergeCell ref="G196:G197"/>
    <mergeCell ref="G118:G119"/>
    <mergeCell ref="G121:G124"/>
    <mergeCell ref="G150:G152"/>
    <mergeCell ref="G137:G138"/>
    <mergeCell ref="G176:G182"/>
    <mergeCell ref="G183:G186"/>
    <mergeCell ref="G187:G188"/>
    <mergeCell ref="E240:E278"/>
    <mergeCell ref="G125:G126"/>
    <mergeCell ref="G127:G129"/>
    <mergeCell ref="G130:G135"/>
    <mergeCell ref="D200:D238"/>
    <mergeCell ref="G200:G206"/>
    <mergeCell ref="G207:G209"/>
    <mergeCell ref="G210:G211"/>
    <mergeCell ref="G269:G271"/>
    <mergeCell ref="G250:G251"/>
    <mergeCell ref="G252:G253"/>
    <mergeCell ref="G254:G256"/>
    <mergeCell ref="G258:G262"/>
    <mergeCell ref="G263:G267"/>
    <mergeCell ref="G146:G149"/>
    <mergeCell ref="G172:G175"/>
    <mergeCell ref="D240:D278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30"/>
  <sheetViews>
    <sheetView workbookViewId="0"/>
  </sheetViews>
  <sheetFormatPr defaultRowHeight="13.8"/>
  <sheetData>
    <row r="3" spans="2:5">
      <c r="B3" t="s">
        <v>875</v>
      </c>
      <c r="E3" t="s">
        <v>884</v>
      </c>
    </row>
    <row r="4" spans="2:5">
      <c r="B4" t="s">
        <v>861</v>
      </c>
      <c r="E4" t="s">
        <v>885</v>
      </c>
    </row>
    <row r="5" spans="2:5">
      <c r="B5" t="s">
        <v>844</v>
      </c>
      <c r="E5" t="s">
        <v>886</v>
      </c>
    </row>
    <row r="6" spans="2:5">
      <c r="B6" t="s">
        <v>827</v>
      </c>
    </row>
    <row r="7" spans="2:5">
      <c r="B7" t="s">
        <v>814</v>
      </c>
    </row>
    <row r="8" spans="2:5">
      <c r="B8" t="s">
        <v>802</v>
      </c>
    </row>
    <row r="9" spans="2:5">
      <c r="B9" t="s">
        <v>791</v>
      </c>
    </row>
    <row r="10" spans="2:5">
      <c r="B10" t="s">
        <v>779</v>
      </c>
    </row>
    <row r="11" spans="2:5">
      <c r="B11" t="s">
        <v>767</v>
      </c>
    </row>
    <row r="12" spans="2:5">
      <c r="B12" t="s">
        <v>741</v>
      </c>
    </row>
    <row r="13" spans="2:5">
      <c r="B13" t="s">
        <v>608</v>
      </c>
    </row>
    <row r="14" spans="2:5">
      <c r="B14" t="s">
        <v>565</v>
      </c>
    </row>
    <row r="15" spans="2:5">
      <c r="B15" t="s">
        <v>470</v>
      </c>
    </row>
    <row r="16" spans="2:5">
      <c r="B16" t="s">
        <v>446</v>
      </c>
    </row>
    <row r="17" spans="2:2">
      <c r="B17" t="s">
        <v>370</v>
      </c>
    </row>
    <row r="18" spans="2:2">
      <c r="B18" t="s">
        <v>311</v>
      </c>
    </row>
    <row r="19" spans="2:2">
      <c r="B19" t="s">
        <v>175</v>
      </c>
    </row>
    <row r="20" spans="2:2">
      <c r="B20" t="s">
        <v>119</v>
      </c>
    </row>
    <row r="21" spans="2:2">
      <c r="B21" t="s">
        <v>8</v>
      </c>
    </row>
    <row r="22" spans="2:2">
      <c r="B22" t="s">
        <v>92</v>
      </c>
    </row>
    <row r="23" spans="2:2">
      <c r="B23" t="s">
        <v>46</v>
      </c>
    </row>
    <row r="24" spans="2:2">
      <c r="B24" t="s">
        <v>26</v>
      </c>
    </row>
    <row r="25" spans="2:2">
      <c r="B25" t="s">
        <v>12</v>
      </c>
    </row>
    <row r="26" spans="2:2">
      <c r="B26" t="s">
        <v>7</v>
      </c>
    </row>
    <row r="27" spans="2:2">
      <c r="B27" t="s">
        <v>889</v>
      </c>
    </row>
    <row r="28" spans="2:2">
      <c r="B28" t="s">
        <v>890</v>
      </c>
    </row>
    <row r="29" spans="2:2">
      <c r="B29" t="s">
        <v>891</v>
      </c>
    </row>
    <row r="30" spans="2:2">
      <c r="B30" t="s">
        <v>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9"/>
  <sheetViews>
    <sheetView tabSelected="1" zoomScale="89" workbookViewId="0">
      <pane xSplit="2" ySplit="5" topLeftCell="C118" activePane="bottomRight" state="frozen"/>
      <selection pane="topRight" activeCell="C1" sqref="C1"/>
      <selection pane="bottomLeft" activeCell="A6" sqref="A6"/>
      <selection pane="bottomRight" activeCell="I52" sqref="I52"/>
    </sheetView>
  </sheetViews>
  <sheetFormatPr defaultRowHeight="13.8"/>
  <cols>
    <col min="1" max="1" width="8.19921875" style="49" bestFit="1" customWidth="1"/>
    <col min="2" max="2" width="12.19921875" style="49" bestFit="1" customWidth="1"/>
    <col min="3" max="3" width="5.3984375" style="66" bestFit="1" customWidth="1"/>
    <col min="4" max="4" width="30.69921875" style="66" bestFit="1" customWidth="1"/>
    <col min="5" max="5" width="5.3984375" style="66" bestFit="1" customWidth="1"/>
    <col min="6" max="6" width="20.19921875" style="66" bestFit="1" customWidth="1"/>
    <col min="7" max="7" width="5.3984375" style="66" bestFit="1" customWidth="1"/>
    <col min="8" max="8" width="28.796875" style="66" bestFit="1" customWidth="1"/>
    <col min="9" max="9" width="34.69921875" style="55" bestFit="1" customWidth="1"/>
    <col min="10" max="10" width="42.796875" style="58" customWidth="1"/>
    <col min="11" max="11" width="26" style="60" bestFit="1" customWidth="1"/>
    <col min="12" max="12" width="51" style="42" customWidth="1"/>
    <col min="13" max="13" width="50.69921875" style="62" customWidth="1"/>
    <col min="14" max="14" width="25.69921875" style="64" bestFit="1" customWidth="1"/>
    <col min="15" max="15" width="32" style="38" bestFit="1" customWidth="1"/>
  </cols>
  <sheetData>
    <row r="1" spans="1:19">
      <c r="C1" s="36"/>
      <c r="D1" s="37"/>
      <c r="E1" s="37"/>
      <c r="F1" s="37"/>
      <c r="G1" s="37"/>
      <c r="H1" s="37"/>
      <c r="I1" s="53"/>
      <c r="J1" s="39"/>
      <c r="K1" s="40"/>
      <c r="L1" s="41"/>
      <c r="M1" s="43"/>
      <c r="N1" s="44"/>
    </row>
    <row r="2" spans="1:19" ht="16.2" thickBot="1">
      <c r="B2" s="50" t="s">
        <v>874</v>
      </c>
      <c r="C2" s="54"/>
      <c r="D2" s="35"/>
      <c r="E2" s="35"/>
      <c r="F2" s="35"/>
      <c r="G2" s="35"/>
      <c r="H2" s="35"/>
      <c r="J2" s="155" t="s">
        <v>876</v>
      </c>
      <c r="K2" s="155"/>
      <c r="L2" s="155"/>
      <c r="M2" s="156" t="s">
        <v>880</v>
      </c>
      <c r="N2" s="156"/>
      <c r="O2" s="156"/>
    </row>
    <row r="3" spans="1:19" ht="16.2" thickBot="1">
      <c r="C3" s="144" t="s">
        <v>879</v>
      </c>
      <c r="D3" s="145"/>
      <c r="E3" s="145"/>
      <c r="F3" s="145"/>
      <c r="G3" s="145"/>
      <c r="H3" s="145"/>
      <c r="I3" s="146"/>
      <c r="J3" s="149" t="s">
        <v>878</v>
      </c>
      <c r="K3" s="150"/>
      <c r="L3" s="151"/>
      <c r="M3" s="152" t="s">
        <v>882</v>
      </c>
      <c r="N3" s="153"/>
      <c r="O3" s="154"/>
      <c r="P3" s="34"/>
      <c r="Q3" s="34"/>
      <c r="R3" s="34"/>
      <c r="S3" s="34"/>
    </row>
    <row r="4" spans="1:19" ht="14.4" thickBot="1">
      <c r="A4" s="140" t="s">
        <v>887</v>
      </c>
      <c r="B4" s="141"/>
      <c r="C4" s="142" t="s">
        <v>458</v>
      </c>
      <c r="D4" s="143"/>
      <c r="E4" s="143" t="s">
        <v>449</v>
      </c>
      <c r="F4" s="143"/>
      <c r="G4" s="143" t="s">
        <v>873</v>
      </c>
      <c r="H4" s="143"/>
      <c r="I4" s="48" t="s">
        <v>864</v>
      </c>
      <c r="J4" s="147" t="s">
        <v>458</v>
      </c>
      <c r="K4" s="157" t="s">
        <v>449</v>
      </c>
      <c r="L4" s="159" t="s">
        <v>873</v>
      </c>
      <c r="M4" s="161" t="s">
        <v>458</v>
      </c>
      <c r="N4" s="163" t="s">
        <v>449</v>
      </c>
      <c r="O4" s="165" t="s">
        <v>873</v>
      </c>
    </row>
    <row r="5" spans="1:19" ht="14.4" thickBot="1">
      <c r="A5" s="51" t="s">
        <v>883</v>
      </c>
      <c r="B5" s="52" t="s">
        <v>877</v>
      </c>
      <c r="C5" s="65" t="s">
        <v>881</v>
      </c>
      <c r="D5" s="65" t="s">
        <v>871</v>
      </c>
      <c r="E5" s="65" t="s">
        <v>881</v>
      </c>
      <c r="F5" s="65" t="s">
        <v>871</v>
      </c>
      <c r="G5" s="65" t="s">
        <v>881</v>
      </c>
      <c r="H5" s="65" t="s">
        <v>871</v>
      </c>
      <c r="I5" s="68"/>
      <c r="J5" s="148"/>
      <c r="K5" s="158"/>
      <c r="L5" s="160"/>
      <c r="M5" s="162"/>
      <c r="N5" s="164"/>
      <c r="O5" s="166"/>
    </row>
    <row r="6" spans="1:19">
      <c r="A6" s="49" t="s">
        <v>886</v>
      </c>
      <c r="B6" s="49" t="s">
        <v>885</v>
      </c>
      <c r="C6" s="66" t="s">
        <v>861</v>
      </c>
      <c r="D6" s="66" t="s">
        <v>860</v>
      </c>
      <c r="E6" s="66">
        <v>1</v>
      </c>
      <c r="F6" s="66" t="s">
        <v>858</v>
      </c>
      <c r="G6" s="66">
        <v>1</v>
      </c>
      <c r="H6" s="66" t="s">
        <v>856</v>
      </c>
      <c r="J6" s="79">
        <f>IF($A6="No",0,IF(ISBLANK($D6)=FALSE,CONCATENATE(,$C$2," ",$J$2," ",$C6," ",$D6),0))</f>
        <v>0</v>
      </c>
      <c r="K6" s="80">
        <f>IF(J6=0,0,IF(ISBLANK($F6)=FALSE,CONCATENATE(,$C$2," ",$J$2," ",$C6,$E6," ",$F6),0))</f>
        <v>0</v>
      </c>
      <c r="L6" s="81">
        <f>IF(K6=0,0,IF(ISBLANK($F6)=FALSE,CONCATENATE(,$C$2," ",$J$2," ",$C6,$E6,,"-",$G6,," ",$H6),0))</f>
        <v>0</v>
      </c>
      <c r="M6" s="70" t="str">
        <f>IF($B6="No",0,IF(ISBLANK($D6)=FALSE,CONCATENATE(,$C$2," ",$M$2," ",$C6," ",$D6),0))</f>
        <v xml:space="preserve"> PL A Sales Revenue</v>
      </c>
      <c r="N6" s="71" t="str">
        <f>IF(M6=0,0,IF(ISBLANK($F6)=FALSE,CONCATENATE(,$C$2," ",$M$2," ",$C6,$E6," ",$F6),0))</f>
        <v xml:space="preserve"> PL A1 Unit Sales</v>
      </c>
      <c r="O6" s="72" t="str">
        <f>IF(N6=0,0,IF(ISBLANK($F6)=FALSE,CONCATENATE(,$C$2," ",$M$2," ",$C6,$E6,,"-",$G6,," ",$H6),0))</f>
        <v xml:space="preserve"> PL A1-1 Apartment Sale</v>
      </c>
    </row>
    <row r="7" spans="1:19">
      <c r="A7" s="49" t="s">
        <v>886</v>
      </c>
      <c r="B7" s="49" t="s">
        <v>885</v>
      </c>
      <c r="C7" s="66" t="s">
        <v>861</v>
      </c>
      <c r="D7" s="66" t="s">
        <v>860</v>
      </c>
      <c r="E7" s="66">
        <v>2</v>
      </c>
      <c r="F7" s="66" t="s">
        <v>853</v>
      </c>
      <c r="G7" s="66">
        <v>2</v>
      </c>
      <c r="H7" s="66" t="s">
        <v>851</v>
      </c>
      <c r="J7" s="79">
        <f t="shared" ref="J7:J73" si="0">IF($A7="No",0,IF(ISBLANK($D7)=FALSE,CONCATENATE(,$C$2," ",$J$2," ",$C7," ",$D7),0))</f>
        <v>0</v>
      </c>
      <c r="K7" s="80">
        <f t="shared" ref="K7:K8" si="1">IF(J7=0,0,IF(ISBLANK($F7)=FALSE,CONCATENATE(,$C$2," ",$J$2," ",$C7,$E7," ",$F7),0))</f>
        <v>0</v>
      </c>
      <c r="L7" s="81">
        <f t="shared" ref="L7:L8" si="2">IF(K7=0,0,IF(ISBLANK($F7)=FALSE,CONCATENATE(,$C$2," ",$J$2," ",$C7,$E7,,"-",$G7,," ",$H7),0))</f>
        <v>0</v>
      </c>
      <c r="M7" s="70" t="str">
        <f>IF($B7="No",0,IF(ISBLANK($D7)=FALSE,CONCATENATE(,$C$2," ",$M$2," ",$C7," ",$D7),0))</f>
        <v xml:space="preserve"> PL A Sales Revenue</v>
      </c>
      <c r="N7" s="71" t="str">
        <f>IF(M7=0,0,IF(ISBLANK($F7)=FALSE,CONCATENATE(,$C$2," ",$M$2," ",$C7,$E7," ",$F7),0))</f>
        <v xml:space="preserve"> PL A2 Parking Sales</v>
      </c>
      <c r="O7" s="72" t="str">
        <f>IF(N7=0,0,IF(ISBLANK($F7)=FALSE,CONCATENATE(,$C$2," ",$M$2," ",$C7,$E7,,"-",$G7,," ",$H7),0))</f>
        <v xml:space="preserve"> PL A2-2 Parking Slot Sale</v>
      </c>
    </row>
    <row r="8" spans="1:19">
      <c r="A8" s="49" t="s">
        <v>886</v>
      </c>
      <c r="B8" s="49" t="s">
        <v>885</v>
      </c>
      <c r="C8" s="66" t="s">
        <v>861</v>
      </c>
      <c r="D8" s="66" t="s">
        <v>860</v>
      </c>
      <c r="E8" s="66">
        <v>3</v>
      </c>
      <c r="F8" s="66" t="s">
        <v>848</v>
      </c>
      <c r="G8" s="66">
        <v>3</v>
      </c>
      <c r="H8" s="66" t="s">
        <v>846</v>
      </c>
      <c r="J8" s="79">
        <f t="shared" si="0"/>
        <v>0</v>
      </c>
      <c r="K8" s="80">
        <f t="shared" si="1"/>
        <v>0</v>
      </c>
      <c r="L8" s="81">
        <f t="shared" si="2"/>
        <v>0</v>
      </c>
      <c r="M8" s="70" t="str">
        <f t="shared" ref="M8:M73" si="3">IF($B8="No",0,IF(ISBLANK($D8)=FALSE,CONCATENATE(,$C$2," ",$M$2," ",$C8," ",$D8),0))</f>
        <v xml:space="preserve"> PL A Sales Revenue</v>
      </c>
      <c r="N8" s="71" t="str">
        <f t="shared" ref="N8:N59" si="4">IF(M8=0,0,IF(ISBLANK($F8)=FALSE,CONCATENATE(,$C$2," ",$M$2," ",$C8,$E8," ",$F8),0))</f>
        <v xml:space="preserve"> PL A3 Amenity Sales</v>
      </c>
      <c r="O8" s="72" t="str">
        <f t="shared" ref="O8:O59" si="5">IF(N8=0,0,IF(ISBLANK($F8)=FALSE,CONCATENATE(,$C$2," ",$M$2," ",$C8,$E8,,"-",$G8,," ",$H8),0))</f>
        <v xml:space="preserve"> PL A3-3 Clubhouse / Amenity Charges</v>
      </c>
    </row>
    <row r="9" spans="1:19">
      <c r="A9" s="49" t="s">
        <v>886</v>
      </c>
      <c r="B9" s="49" t="s">
        <v>885</v>
      </c>
      <c r="C9" s="66" t="s">
        <v>861</v>
      </c>
      <c r="D9" s="67"/>
      <c r="E9" s="67"/>
      <c r="F9" s="67"/>
      <c r="G9" s="67"/>
      <c r="H9" s="67"/>
      <c r="I9" s="56"/>
      <c r="J9" s="79">
        <f t="shared" si="0"/>
        <v>0</v>
      </c>
      <c r="K9" s="80">
        <f t="shared" ref="K9:K74" si="6">IF($J9=0,0,IF(ISBLANK($F9)=FALSE,CONCATENATE(,$C$2," ",$J$2," ",$C9,$E9," ",$F9),0))</f>
        <v>0</v>
      </c>
      <c r="L9" s="81">
        <f t="shared" ref="L9:L74" si="7">IF($K9=0,0,IF(ISBLANK($F9)=FALSE,CONCATENATE(,$C$2," ",$J$2," ",$C9,$E9,,"-",$G9,," ",$H9),0))</f>
        <v>0</v>
      </c>
      <c r="M9" s="82">
        <f t="shared" si="3"/>
        <v>0</v>
      </c>
      <c r="N9" s="83">
        <f t="shared" si="4"/>
        <v>0</v>
      </c>
      <c r="O9" s="84">
        <f t="shared" si="5"/>
        <v>0</v>
      </c>
    </row>
    <row r="10" spans="1:19">
      <c r="A10" s="49" t="s">
        <v>885</v>
      </c>
      <c r="B10" s="49" t="s">
        <v>886</v>
      </c>
      <c r="C10" s="66" t="s">
        <v>844</v>
      </c>
      <c r="D10" s="66" t="s">
        <v>843</v>
      </c>
      <c r="E10" s="66">
        <v>1</v>
      </c>
      <c r="F10" s="66" t="s">
        <v>841</v>
      </c>
      <c r="G10" s="66">
        <v>1</v>
      </c>
      <c r="H10" s="66" t="s">
        <v>839</v>
      </c>
      <c r="I10" s="55" t="s">
        <v>838</v>
      </c>
      <c r="J10" s="74" t="str">
        <f t="shared" si="0"/>
        <v xml:space="preserve"> CF B Customer Collections</v>
      </c>
      <c r="K10" s="75" t="str">
        <f t="shared" si="6"/>
        <v xml:space="preserve"> CF B1 Booking Amount</v>
      </c>
      <c r="L10" s="76" t="str">
        <f t="shared" si="7"/>
        <v xml:space="preserve"> CF B1-1 Initial Booking</v>
      </c>
      <c r="M10" s="82">
        <f t="shared" si="3"/>
        <v>0</v>
      </c>
      <c r="N10" s="83">
        <f t="shared" si="4"/>
        <v>0</v>
      </c>
      <c r="O10" s="84">
        <f t="shared" si="5"/>
        <v>0</v>
      </c>
    </row>
    <row r="11" spans="1:19">
      <c r="A11" s="49" t="s">
        <v>885</v>
      </c>
      <c r="B11" s="49" t="s">
        <v>886</v>
      </c>
      <c r="C11" s="66" t="s">
        <v>844</v>
      </c>
      <c r="D11" s="66" t="s">
        <v>843</v>
      </c>
      <c r="E11" s="66">
        <f>E10+1</f>
        <v>2</v>
      </c>
      <c r="F11" s="66" t="s">
        <v>836</v>
      </c>
      <c r="G11" s="66">
        <v>2</v>
      </c>
      <c r="H11" s="66" t="s">
        <v>834</v>
      </c>
      <c r="I11" s="55" t="s">
        <v>833</v>
      </c>
      <c r="J11" s="74" t="str">
        <f t="shared" si="0"/>
        <v xml:space="preserve"> CF B Customer Collections</v>
      </c>
      <c r="K11" s="75" t="str">
        <f t="shared" si="6"/>
        <v xml:space="preserve"> CF B2 Milestone Collections</v>
      </c>
      <c r="L11" s="76" t="str">
        <f t="shared" si="7"/>
        <v xml:space="preserve"> CF B2-2 Construction Linked Payment</v>
      </c>
      <c r="M11" s="82">
        <f t="shared" si="3"/>
        <v>0</v>
      </c>
      <c r="N11" s="83">
        <f t="shared" si="4"/>
        <v>0</v>
      </c>
      <c r="O11" s="84">
        <f t="shared" si="5"/>
        <v>0</v>
      </c>
    </row>
    <row r="12" spans="1:19">
      <c r="A12" s="49" t="s">
        <v>885</v>
      </c>
      <c r="B12" s="49" t="s">
        <v>886</v>
      </c>
      <c r="C12" s="66" t="s">
        <v>844</v>
      </c>
      <c r="D12" s="66" t="s">
        <v>843</v>
      </c>
      <c r="E12" s="66">
        <f t="shared" ref="E12" si="8">E11+1</f>
        <v>3</v>
      </c>
      <c r="F12" s="66" t="s">
        <v>831</v>
      </c>
      <c r="G12" s="66">
        <v>3</v>
      </c>
      <c r="H12" s="66" t="s">
        <v>829</v>
      </c>
      <c r="I12" s="55" t="s">
        <v>828</v>
      </c>
      <c r="J12" s="74" t="str">
        <f t="shared" si="0"/>
        <v xml:space="preserve"> CF B Customer Collections</v>
      </c>
      <c r="K12" s="75" t="str">
        <f t="shared" si="6"/>
        <v xml:space="preserve"> CF B3 Possession Collections</v>
      </c>
      <c r="L12" s="76" t="str">
        <f t="shared" si="7"/>
        <v xml:space="preserve"> CF B3-3 Possession Payment</v>
      </c>
      <c r="M12" s="82">
        <f t="shared" si="3"/>
        <v>0</v>
      </c>
      <c r="N12" s="83">
        <f t="shared" si="4"/>
        <v>0</v>
      </c>
      <c r="O12" s="84">
        <f t="shared" si="5"/>
        <v>0</v>
      </c>
    </row>
    <row r="13" spans="1:19">
      <c r="J13" s="79"/>
      <c r="K13" s="80"/>
      <c r="L13" s="81"/>
      <c r="M13" s="82"/>
      <c r="N13" s="83"/>
      <c r="O13" s="84"/>
    </row>
    <row r="14" spans="1:19">
      <c r="A14" s="49" t="s">
        <v>885</v>
      </c>
      <c r="B14" s="49" t="s">
        <v>885</v>
      </c>
      <c r="C14" s="66" t="s">
        <v>827</v>
      </c>
      <c r="D14" s="66" t="s">
        <v>740</v>
      </c>
      <c r="E14" s="66">
        <v>1</v>
      </c>
      <c r="F14" s="66" t="s">
        <v>309</v>
      </c>
      <c r="G14" s="66">
        <v>1</v>
      </c>
      <c r="H14" s="66" t="s">
        <v>307</v>
      </c>
      <c r="I14" s="55" t="s">
        <v>306</v>
      </c>
      <c r="J14" s="74" t="str">
        <f t="shared" si="0"/>
        <v xml:space="preserve"> CF C Construction Cost</v>
      </c>
      <c r="K14" s="75" t="str">
        <f t="shared" si="6"/>
        <v xml:space="preserve"> CF C1 RCC Structure</v>
      </c>
      <c r="L14" s="76" t="str">
        <f t="shared" si="7"/>
        <v xml:space="preserve"> CF C1-1 Steel</v>
      </c>
      <c r="M14" s="70" t="str">
        <f t="shared" si="3"/>
        <v xml:space="preserve"> PL C Construction Cost</v>
      </c>
      <c r="N14" s="71" t="str">
        <f t="shared" si="4"/>
        <v xml:space="preserve"> PL C1 RCC Structure</v>
      </c>
      <c r="O14" s="78" t="str">
        <f t="shared" si="5"/>
        <v xml:space="preserve"> PL C1-1 Steel</v>
      </c>
    </row>
    <row r="15" spans="1:19">
      <c r="A15" s="49" t="s">
        <v>885</v>
      </c>
      <c r="B15" s="49" t="s">
        <v>885</v>
      </c>
      <c r="C15" s="66" t="s">
        <v>827</v>
      </c>
      <c r="D15" s="66" t="s">
        <v>740</v>
      </c>
      <c r="E15" s="66">
        <v>1</v>
      </c>
      <c r="F15" s="66" t="s">
        <v>309</v>
      </c>
      <c r="G15" s="66">
        <f>+G14+1</f>
        <v>2</v>
      </c>
      <c r="H15" s="66" t="s">
        <v>304</v>
      </c>
      <c r="I15" s="55" t="s">
        <v>303</v>
      </c>
      <c r="J15" s="74" t="str">
        <f t="shared" si="0"/>
        <v xml:space="preserve"> CF C Construction Cost</v>
      </c>
      <c r="K15" s="75" t="str">
        <f t="shared" si="6"/>
        <v xml:space="preserve"> CF C1 RCC Structure</v>
      </c>
      <c r="L15" s="76" t="str">
        <f t="shared" si="7"/>
        <v xml:space="preserve"> CF C1-2 Cement</v>
      </c>
      <c r="M15" s="70" t="str">
        <f t="shared" si="3"/>
        <v xml:space="preserve"> PL C Construction Cost</v>
      </c>
      <c r="N15" s="71" t="str">
        <f t="shared" si="4"/>
        <v xml:space="preserve"> PL C1 RCC Structure</v>
      </c>
      <c r="O15" s="78" t="str">
        <f t="shared" si="5"/>
        <v xml:space="preserve"> PL C1-2 Cement</v>
      </c>
    </row>
    <row r="16" spans="1:19">
      <c r="A16" s="49" t="s">
        <v>885</v>
      </c>
      <c r="B16" s="49" t="s">
        <v>885</v>
      </c>
      <c r="C16" s="66" t="s">
        <v>827</v>
      </c>
      <c r="D16" s="66" t="s">
        <v>740</v>
      </c>
      <c r="E16" s="66">
        <v>1</v>
      </c>
      <c r="F16" s="66" t="s">
        <v>309</v>
      </c>
      <c r="G16" s="66">
        <f t="shared" ref="G16:G28" si="9">+G15+1</f>
        <v>3</v>
      </c>
      <c r="H16" s="66" t="s">
        <v>301</v>
      </c>
      <c r="I16" s="55" t="s">
        <v>300</v>
      </c>
      <c r="J16" s="74" t="str">
        <f t="shared" si="0"/>
        <v xml:space="preserve"> CF C Construction Cost</v>
      </c>
      <c r="K16" s="75" t="str">
        <f t="shared" si="6"/>
        <v xml:space="preserve"> CF C1 RCC Structure</v>
      </c>
      <c r="L16" s="76" t="str">
        <f t="shared" si="7"/>
        <v xml:space="preserve"> CF C1-3 Sand</v>
      </c>
      <c r="M16" s="70" t="str">
        <f t="shared" si="3"/>
        <v xml:space="preserve"> PL C Construction Cost</v>
      </c>
      <c r="N16" s="71" t="str">
        <f t="shared" si="4"/>
        <v xml:space="preserve"> PL C1 RCC Structure</v>
      </c>
      <c r="O16" s="78" t="str">
        <f t="shared" si="5"/>
        <v xml:space="preserve"> PL C1-3 Sand</v>
      </c>
    </row>
    <row r="17" spans="1:15">
      <c r="A17" s="49" t="s">
        <v>885</v>
      </c>
      <c r="B17" s="49" t="s">
        <v>885</v>
      </c>
      <c r="C17" s="66" t="s">
        <v>827</v>
      </c>
      <c r="D17" s="66" t="s">
        <v>740</v>
      </c>
      <c r="E17" s="66">
        <v>1</v>
      </c>
      <c r="F17" s="66" t="s">
        <v>309</v>
      </c>
      <c r="G17" s="66">
        <f t="shared" si="9"/>
        <v>4</v>
      </c>
      <c r="H17" s="66" t="s">
        <v>298</v>
      </c>
      <c r="I17" s="55" t="s">
        <v>297</v>
      </c>
      <c r="J17" s="74" t="str">
        <f t="shared" si="0"/>
        <v xml:space="preserve"> CF C Construction Cost</v>
      </c>
      <c r="K17" s="75" t="str">
        <f t="shared" si="6"/>
        <v xml:space="preserve"> CF C1 RCC Structure</v>
      </c>
      <c r="L17" s="76" t="str">
        <f t="shared" si="7"/>
        <v xml:space="preserve"> CF C1-4 Aggregate</v>
      </c>
      <c r="M17" s="70" t="str">
        <f t="shared" si="3"/>
        <v xml:space="preserve"> PL C Construction Cost</v>
      </c>
      <c r="N17" s="71" t="str">
        <f t="shared" si="4"/>
        <v xml:space="preserve"> PL C1 RCC Structure</v>
      </c>
      <c r="O17" s="78" t="str">
        <f t="shared" si="5"/>
        <v xml:space="preserve"> PL C1-4 Aggregate</v>
      </c>
    </row>
    <row r="18" spans="1:15">
      <c r="A18" s="49" t="s">
        <v>885</v>
      </c>
      <c r="B18" s="49" t="s">
        <v>885</v>
      </c>
      <c r="C18" s="66" t="s">
        <v>827</v>
      </c>
      <c r="D18" s="66" t="s">
        <v>740</v>
      </c>
      <c r="E18" s="66">
        <v>1</v>
      </c>
      <c r="F18" s="66" t="s">
        <v>309</v>
      </c>
      <c r="G18" s="66">
        <f t="shared" si="9"/>
        <v>5</v>
      </c>
      <c r="H18" s="66" t="s">
        <v>295</v>
      </c>
      <c r="I18" s="55" t="s">
        <v>294</v>
      </c>
      <c r="J18" s="74" t="str">
        <f t="shared" si="0"/>
        <v xml:space="preserve"> CF C Construction Cost</v>
      </c>
      <c r="K18" s="75" t="str">
        <f t="shared" si="6"/>
        <v xml:space="preserve"> CF C1 RCC Structure</v>
      </c>
      <c r="L18" s="76" t="str">
        <f t="shared" si="7"/>
        <v xml:space="preserve"> CF C1-5 RCC Labour</v>
      </c>
      <c r="M18" s="70" t="str">
        <f t="shared" si="3"/>
        <v xml:space="preserve"> PL C Construction Cost</v>
      </c>
      <c r="N18" s="71" t="str">
        <f t="shared" si="4"/>
        <v xml:space="preserve"> PL C1 RCC Structure</v>
      </c>
      <c r="O18" s="78" t="str">
        <f t="shared" si="5"/>
        <v xml:space="preserve"> PL C1-5 RCC Labour</v>
      </c>
    </row>
    <row r="19" spans="1:15">
      <c r="A19" s="49" t="s">
        <v>885</v>
      </c>
      <c r="B19" s="49" t="s">
        <v>885</v>
      </c>
      <c r="C19" s="66" t="s">
        <v>827</v>
      </c>
      <c r="D19" s="66" t="s">
        <v>740</v>
      </c>
      <c r="E19" s="66">
        <v>1</v>
      </c>
      <c r="F19" s="66" t="s">
        <v>309</v>
      </c>
      <c r="G19" s="66">
        <f t="shared" si="9"/>
        <v>6</v>
      </c>
      <c r="H19" s="66" t="s">
        <v>292</v>
      </c>
      <c r="I19" s="55" t="s">
        <v>291</v>
      </c>
      <c r="J19" s="74" t="str">
        <f t="shared" si="0"/>
        <v xml:space="preserve"> CF C Construction Cost</v>
      </c>
      <c r="K19" s="75" t="str">
        <f t="shared" si="6"/>
        <v xml:space="preserve"> CF C1 RCC Structure</v>
      </c>
      <c r="L19" s="76" t="str">
        <f t="shared" si="7"/>
        <v xml:space="preserve"> CF C1-6 Shuttering</v>
      </c>
      <c r="M19" s="70" t="str">
        <f t="shared" si="3"/>
        <v xml:space="preserve"> PL C Construction Cost</v>
      </c>
      <c r="N19" s="71" t="str">
        <f t="shared" si="4"/>
        <v xml:space="preserve"> PL C1 RCC Structure</v>
      </c>
      <c r="O19" s="78" t="str">
        <f t="shared" si="5"/>
        <v xml:space="preserve"> PL C1-6 Shuttering</v>
      </c>
    </row>
    <row r="20" spans="1:15">
      <c r="A20" s="49" t="s">
        <v>885</v>
      </c>
      <c r="B20" s="49" t="s">
        <v>885</v>
      </c>
      <c r="C20" s="66" t="s">
        <v>827</v>
      </c>
      <c r="D20" s="66" t="s">
        <v>740</v>
      </c>
      <c r="E20" s="66">
        <v>1</v>
      </c>
      <c r="F20" s="66" t="s">
        <v>309</v>
      </c>
      <c r="G20" s="66">
        <f t="shared" si="9"/>
        <v>7</v>
      </c>
      <c r="H20" s="66" t="s">
        <v>288</v>
      </c>
      <c r="I20" s="55" t="s">
        <v>287</v>
      </c>
      <c r="J20" s="74" t="str">
        <f t="shared" si="0"/>
        <v xml:space="preserve"> CF C Construction Cost</v>
      </c>
      <c r="K20" s="75" t="str">
        <f t="shared" si="6"/>
        <v xml:space="preserve"> CF C1 RCC Structure</v>
      </c>
      <c r="L20" s="76" t="str">
        <f t="shared" si="7"/>
        <v xml:space="preserve"> CF C1-7 Concrete Pump</v>
      </c>
      <c r="M20" s="70" t="str">
        <f t="shared" si="3"/>
        <v xml:space="preserve"> PL C Construction Cost</v>
      </c>
      <c r="N20" s="71" t="str">
        <f t="shared" si="4"/>
        <v xml:space="preserve"> PL C1 RCC Structure</v>
      </c>
      <c r="O20" s="78" t="str">
        <f t="shared" si="5"/>
        <v xml:space="preserve"> PL C1-7 Concrete Pump</v>
      </c>
    </row>
    <row r="21" spans="1:15">
      <c r="A21" s="49" t="s">
        <v>885</v>
      </c>
      <c r="B21" s="49" t="s">
        <v>885</v>
      </c>
      <c r="C21" s="66" t="s">
        <v>827</v>
      </c>
      <c r="D21" s="66" t="s">
        <v>740</v>
      </c>
      <c r="E21" s="66">
        <v>1</v>
      </c>
      <c r="F21" s="66" t="s">
        <v>309</v>
      </c>
      <c r="G21" s="66">
        <f t="shared" si="9"/>
        <v>8</v>
      </c>
      <c r="H21" s="66" t="s">
        <v>731</v>
      </c>
      <c r="I21" s="55" t="s">
        <v>731</v>
      </c>
      <c r="J21" s="74" t="str">
        <f t="shared" si="0"/>
        <v xml:space="preserve"> CF C Construction Cost</v>
      </c>
      <c r="K21" s="75" t="str">
        <f t="shared" si="6"/>
        <v xml:space="preserve"> CF C1 RCC Structure</v>
      </c>
      <c r="L21" s="76" t="str">
        <f t="shared" si="7"/>
        <v xml:space="preserve"> CF C1-8 Corrugated sheet</v>
      </c>
      <c r="M21" s="70" t="str">
        <f t="shared" si="3"/>
        <v xml:space="preserve"> PL C Construction Cost</v>
      </c>
      <c r="N21" s="71" t="str">
        <f t="shared" si="4"/>
        <v xml:space="preserve"> PL C1 RCC Structure</v>
      </c>
      <c r="O21" s="78" t="str">
        <f t="shared" si="5"/>
        <v xml:space="preserve"> PL C1-8 Corrugated sheet</v>
      </c>
    </row>
    <row r="22" spans="1:15">
      <c r="A22" s="49" t="s">
        <v>885</v>
      </c>
      <c r="B22" s="49" t="s">
        <v>885</v>
      </c>
      <c r="C22" s="66" t="s">
        <v>827</v>
      </c>
      <c r="D22" s="66" t="s">
        <v>740</v>
      </c>
      <c r="E22" s="66">
        <v>1</v>
      </c>
      <c r="F22" s="66" t="s">
        <v>309</v>
      </c>
      <c r="G22" s="66">
        <f t="shared" si="9"/>
        <v>9</v>
      </c>
      <c r="H22" s="66" t="s">
        <v>915</v>
      </c>
      <c r="J22" s="74" t="str">
        <f t="shared" si="0"/>
        <v xml:space="preserve"> CF C Construction Cost</v>
      </c>
      <c r="K22" s="75" t="str">
        <f t="shared" si="6"/>
        <v xml:space="preserve"> CF C1 RCC Structure</v>
      </c>
      <c r="L22" s="76" t="str">
        <f t="shared" si="7"/>
        <v xml:space="preserve"> CF C1-9 RCC Work- Slab </v>
      </c>
      <c r="M22" s="70" t="str">
        <f t="shared" si="3"/>
        <v xml:space="preserve"> PL C Construction Cost</v>
      </c>
      <c r="N22" s="71" t="str">
        <f t="shared" si="4"/>
        <v xml:space="preserve"> PL C1 RCC Structure</v>
      </c>
      <c r="O22" s="78" t="str">
        <f t="shared" si="5"/>
        <v xml:space="preserve"> PL C1-9 RCC Work- Slab </v>
      </c>
    </row>
    <row r="23" spans="1:15">
      <c r="A23" s="49" t="s">
        <v>885</v>
      </c>
      <c r="B23" s="49" t="s">
        <v>885</v>
      </c>
      <c r="C23" s="66" t="s">
        <v>827</v>
      </c>
      <c r="D23" s="66" t="s">
        <v>740</v>
      </c>
      <c r="E23" s="66">
        <v>1</v>
      </c>
      <c r="F23" s="66" t="s">
        <v>309</v>
      </c>
      <c r="G23" s="66">
        <f t="shared" si="9"/>
        <v>10</v>
      </c>
      <c r="H23" s="66" t="s">
        <v>727</v>
      </c>
      <c r="J23" s="74" t="str">
        <f t="shared" si="0"/>
        <v xml:space="preserve"> CF C Construction Cost</v>
      </c>
      <c r="K23" s="75" t="str">
        <f t="shared" si="6"/>
        <v xml:space="preserve"> CF C1 RCC Structure</v>
      </c>
      <c r="L23" s="76" t="str">
        <f t="shared" si="7"/>
        <v xml:space="preserve"> CF C1-10 Fastone</v>
      </c>
      <c r="M23" s="70" t="str">
        <f t="shared" si="3"/>
        <v xml:space="preserve"> PL C Construction Cost</v>
      </c>
      <c r="N23" s="71" t="str">
        <f t="shared" si="4"/>
        <v xml:space="preserve"> PL C1 RCC Structure</v>
      </c>
      <c r="O23" s="78" t="str">
        <f t="shared" si="5"/>
        <v xml:space="preserve"> PL C1-10 Fastone</v>
      </c>
    </row>
    <row r="24" spans="1:15">
      <c r="A24" s="49" t="s">
        <v>885</v>
      </c>
      <c r="B24" s="49" t="s">
        <v>885</v>
      </c>
      <c r="C24" s="66" t="s">
        <v>827</v>
      </c>
      <c r="D24" s="66" t="s">
        <v>740</v>
      </c>
      <c r="E24" s="66">
        <v>1</v>
      </c>
      <c r="F24" s="66" t="s">
        <v>309</v>
      </c>
      <c r="G24" s="66">
        <f t="shared" si="9"/>
        <v>11</v>
      </c>
      <c r="H24" s="66" t="s">
        <v>725</v>
      </c>
      <c r="J24" s="74" t="str">
        <f t="shared" si="0"/>
        <v xml:space="preserve"> CF C Construction Cost</v>
      </c>
      <c r="K24" s="75" t="str">
        <f t="shared" si="6"/>
        <v xml:space="preserve"> CF C1 RCC Structure</v>
      </c>
      <c r="L24" s="76" t="str">
        <f t="shared" si="7"/>
        <v xml:space="preserve"> CF C1-11 Concrete Work</v>
      </c>
      <c r="M24" s="70" t="str">
        <f t="shared" si="3"/>
        <v xml:space="preserve"> PL C Construction Cost</v>
      </c>
      <c r="N24" s="71" t="str">
        <f t="shared" si="4"/>
        <v xml:space="preserve"> PL C1 RCC Structure</v>
      </c>
      <c r="O24" s="78" t="str">
        <f t="shared" si="5"/>
        <v xml:space="preserve"> PL C1-11 Concrete Work</v>
      </c>
    </row>
    <row r="25" spans="1:15">
      <c r="A25" s="49" t="s">
        <v>885</v>
      </c>
      <c r="B25" s="49" t="s">
        <v>885</v>
      </c>
      <c r="C25" s="66" t="s">
        <v>827</v>
      </c>
      <c r="D25" s="66" t="s">
        <v>740</v>
      </c>
      <c r="E25" s="66">
        <v>1</v>
      </c>
      <c r="F25" s="66" t="s">
        <v>309</v>
      </c>
      <c r="G25" s="66">
        <f t="shared" si="9"/>
        <v>12</v>
      </c>
      <c r="H25" s="66" t="s">
        <v>723</v>
      </c>
      <c r="J25" s="74" t="str">
        <f t="shared" si="0"/>
        <v xml:space="preserve"> CF C Construction Cost</v>
      </c>
      <c r="K25" s="75" t="str">
        <f t="shared" si="6"/>
        <v xml:space="preserve"> CF C1 RCC Structure</v>
      </c>
      <c r="L25" s="76" t="str">
        <f t="shared" si="7"/>
        <v xml:space="preserve"> CF C1-12 Piling Work</v>
      </c>
      <c r="M25" s="70" t="str">
        <f t="shared" si="3"/>
        <v xml:space="preserve"> PL C Construction Cost</v>
      </c>
      <c r="N25" s="71" t="str">
        <f t="shared" si="4"/>
        <v xml:space="preserve"> PL C1 RCC Structure</v>
      </c>
      <c r="O25" s="78" t="str">
        <f t="shared" si="5"/>
        <v xml:space="preserve"> PL C1-12 Piling Work</v>
      </c>
    </row>
    <row r="26" spans="1:15">
      <c r="A26" s="49" t="s">
        <v>885</v>
      </c>
      <c r="B26" s="49" t="s">
        <v>885</v>
      </c>
      <c r="C26" s="66" t="s">
        <v>827</v>
      </c>
      <c r="D26" s="66" t="s">
        <v>740</v>
      </c>
      <c r="E26" s="66">
        <v>1</v>
      </c>
      <c r="F26" s="66" t="s">
        <v>309</v>
      </c>
      <c r="G26" s="66">
        <f t="shared" si="9"/>
        <v>13</v>
      </c>
      <c r="H26" s="66" t="s">
        <v>721</v>
      </c>
      <c r="J26" s="74" t="str">
        <f t="shared" si="0"/>
        <v xml:space="preserve"> CF C Construction Cost</v>
      </c>
      <c r="K26" s="75" t="str">
        <f t="shared" si="6"/>
        <v xml:space="preserve"> CF C1 RCC Structure</v>
      </c>
      <c r="L26" s="76" t="str">
        <f t="shared" si="7"/>
        <v xml:space="preserve"> CF C1-13 Ready Mix Concreate Material</v>
      </c>
      <c r="M26" s="70" t="str">
        <f t="shared" si="3"/>
        <v xml:space="preserve"> PL C Construction Cost</v>
      </c>
      <c r="N26" s="71" t="str">
        <f t="shared" si="4"/>
        <v xml:space="preserve"> PL C1 RCC Structure</v>
      </c>
      <c r="O26" s="78" t="str">
        <f t="shared" si="5"/>
        <v xml:space="preserve"> PL C1-13 Ready Mix Concreate Material</v>
      </c>
    </row>
    <row r="27" spans="1:15">
      <c r="A27" s="49" t="s">
        <v>885</v>
      </c>
      <c r="B27" s="49" t="s">
        <v>885</v>
      </c>
      <c r="C27" s="66" t="s">
        <v>827</v>
      </c>
      <c r="D27" s="66" t="s">
        <v>740</v>
      </c>
      <c r="E27" s="66">
        <v>1</v>
      </c>
      <c r="F27" s="66" t="s">
        <v>309</v>
      </c>
      <c r="G27" s="66">
        <f t="shared" si="9"/>
        <v>14</v>
      </c>
      <c r="H27" s="66" t="s">
        <v>719</v>
      </c>
      <c r="J27" s="74" t="str">
        <f t="shared" si="0"/>
        <v xml:space="preserve"> CF C Construction Cost</v>
      </c>
      <c r="K27" s="75" t="str">
        <f t="shared" si="6"/>
        <v xml:space="preserve"> CF C1 RCC Structure</v>
      </c>
      <c r="L27" s="76" t="str">
        <f t="shared" si="7"/>
        <v xml:space="preserve"> CF C1-14 Core Cutting</v>
      </c>
      <c r="M27" s="70" t="str">
        <f t="shared" si="3"/>
        <v xml:space="preserve"> PL C Construction Cost</v>
      </c>
      <c r="N27" s="71" t="str">
        <f t="shared" si="4"/>
        <v xml:space="preserve"> PL C1 RCC Structure</v>
      </c>
      <c r="O27" s="78" t="str">
        <f t="shared" si="5"/>
        <v xml:space="preserve"> PL C1-14 Core Cutting</v>
      </c>
    </row>
    <row r="28" spans="1:15">
      <c r="A28" s="49" t="s">
        <v>885</v>
      </c>
      <c r="B28" s="49" t="s">
        <v>885</v>
      </c>
      <c r="C28" s="66" t="s">
        <v>827</v>
      </c>
      <c r="D28" s="66" t="s">
        <v>740</v>
      </c>
      <c r="E28" s="66">
        <v>1</v>
      </c>
      <c r="F28" s="66" t="s">
        <v>309</v>
      </c>
      <c r="G28" s="66">
        <f t="shared" si="9"/>
        <v>15</v>
      </c>
      <c r="H28" s="66" t="s">
        <v>433</v>
      </c>
      <c r="J28" s="74" t="str">
        <f t="shared" si="0"/>
        <v xml:space="preserve"> CF C Construction Cost</v>
      </c>
      <c r="K28" s="75" t="str">
        <f t="shared" si="6"/>
        <v xml:space="preserve"> CF C1 RCC Structure</v>
      </c>
      <c r="L28" s="76" t="str">
        <f t="shared" si="7"/>
        <v xml:space="preserve"> CF C1-15 Rubble Stone</v>
      </c>
      <c r="M28" s="70" t="str">
        <f t="shared" si="3"/>
        <v xml:space="preserve"> PL C Construction Cost</v>
      </c>
      <c r="N28" s="71" t="str">
        <f t="shared" si="4"/>
        <v xml:space="preserve"> PL C1 RCC Structure</v>
      </c>
      <c r="O28" s="78" t="str">
        <f t="shared" si="5"/>
        <v xml:space="preserve"> PL C1-15 Rubble Stone</v>
      </c>
    </row>
    <row r="29" spans="1:15">
      <c r="A29" s="49" t="s">
        <v>885</v>
      </c>
      <c r="B29" s="49" t="s">
        <v>885</v>
      </c>
      <c r="C29" s="66" t="s">
        <v>827</v>
      </c>
      <c r="D29" s="66" t="s">
        <v>740</v>
      </c>
      <c r="E29" s="66">
        <v>2</v>
      </c>
      <c r="F29" s="66" t="s">
        <v>286</v>
      </c>
      <c r="G29" s="66">
        <v>1</v>
      </c>
      <c r="H29" s="66" t="s">
        <v>284</v>
      </c>
      <c r="I29" s="55" t="s">
        <v>283</v>
      </c>
      <c r="J29" s="74" t="str">
        <f t="shared" si="0"/>
        <v xml:space="preserve"> CF C Construction Cost</v>
      </c>
      <c r="K29" s="75" t="str">
        <f t="shared" si="6"/>
        <v xml:space="preserve"> CF C2 Brickwork</v>
      </c>
      <c r="L29" s="76" t="str">
        <f t="shared" si="7"/>
        <v xml:space="preserve"> CF C2-1 Bricks/Blocks</v>
      </c>
      <c r="M29" s="70" t="str">
        <f t="shared" si="3"/>
        <v xml:space="preserve"> PL C Construction Cost</v>
      </c>
      <c r="N29" s="71" t="str">
        <f t="shared" si="4"/>
        <v xml:space="preserve"> PL C2 Brickwork</v>
      </c>
      <c r="O29" s="78" t="str">
        <f t="shared" si="5"/>
        <v xml:space="preserve"> PL C2-1 Bricks/Blocks</v>
      </c>
    </row>
    <row r="30" spans="1:15">
      <c r="A30" s="49" t="s">
        <v>885</v>
      </c>
      <c r="B30" s="49" t="s">
        <v>885</v>
      </c>
      <c r="C30" s="66" t="s">
        <v>827</v>
      </c>
      <c r="D30" s="66" t="s">
        <v>740</v>
      </c>
      <c r="E30" s="66">
        <v>2</v>
      </c>
      <c r="F30" s="66" t="s">
        <v>286</v>
      </c>
      <c r="G30" s="66">
        <f>+G29+1</f>
        <v>2</v>
      </c>
      <c r="H30" s="66" t="s">
        <v>281</v>
      </c>
      <c r="I30" s="55" t="s">
        <v>280</v>
      </c>
      <c r="J30" s="74" t="str">
        <f t="shared" si="0"/>
        <v xml:space="preserve"> CF C Construction Cost</v>
      </c>
      <c r="K30" s="75" t="str">
        <f t="shared" si="6"/>
        <v xml:space="preserve"> CF C2 Brickwork</v>
      </c>
      <c r="L30" s="76" t="str">
        <f t="shared" si="7"/>
        <v xml:space="preserve"> CF C2-2 Mortar</v>
      </c>
      <c r="M30" s="70" t="str">
        <f t="shared" si="3"/>
        <v xml:space="preserve"> PL C Construction Cost</v>
      </c>
      <c r="N30" s="71" t="str">
        <f t="shared" si="4"/>
        <v xml:space="preserve"> PL C2 Brickwork</v>
      </c>
      <c r="O30" s="78" t="str">
        <f t="shared" si="5"/>
        <v xml:space="preserve"> PL C2-2 Mortar</v>
      </c>
    </row>
    <row r="31" spans="1:15">
      <c r="A31" s="49" t="s">
        <v>885</v>
      </c>
      <c r="B31" s="49" t="s">
        <v>885</v>
      </c>
      <c r="C31" s="66" t="s">
        <v>827</v>
      </c>
      <c r="D31" s="66" t="s">
        <v>740</v>
      </c>
      <c r="E31" s="66">
        <v>2</v>
      </c>
      <c r="F31" s="66" t="s">
        <v>286</v>
      </c>
      <c r="G31" s="66">
        <f t="shared" ref="G31:G34" si="10">+G30+1</f>
        <v>3</v>
      </c>
      <c r="H31" s="66" t="s">
        <v>277</v>
      </c>
      <c r="I31" s="55" t="s">
        <v>276</v>
      </c>
      <c r="J31" s="74" t="str">
        <f t="shared" si="0"/>
        <v xml:space="preserve"> CF C Construction Cost</v>
      </c>
      <c r="K31" s="75" t="str">
        <f t="shared" si="6"/>
        <v xml:space="preserve"> CF C2 Brickwork</v>
      </c>
      <c r="L31" s="76" t="str">
        <f t="shared" si="7"/>
        <v xml:space="preserve"> CF C2-3 Brickwork Labour</v>
      </c>
      <c r="M31" s="70" t="str">
        <f t="shared" si="3"/>
        <v xml:space="preserve"> PL C Construction Cost</v>
      </c>
      <c r="N31" s="71" t="str">
        <f t="shared" si="4"/>
        <v xml:space="preserve"> PL C2 Brickwork</v>
      </c>
      <c r="O31" s="78" t="str">
        <f t="shared" si="5"/>
        <v xml:space="preserve"> PL C2-3 Brickwork Labour</v>
      </c>
    </row>
    <row r="32" spans="1:15">
      <c r="A32" s="49" t="s">
        <v>885</v>
      </c>
      <c r="B32" s="49" t="s">
        <v>885</v>
      </c>
      <c r="C32" s="66" t="s">
        <v>827</v>
      </c>
      <c r="D32" s="66" t="s">
        <v>740</v>
      </c>
      <c r="E32" s="66">
        <v>2</v>
      </c>
      <c r="F32" s="66" t="s">
        <v>286</v>
      </c>
      <c r="G32" s="66">
        <f t="shared" si="10"/>
        <v>4</v>
      </c>
      <c r="H32" s="66" t="s">
        <v>712</v>
      </c>
      <c r="J32" s="74" t="str">
        <f t="shared" si="0"/>
        <v xml:space="preserve"> CF C Construction Cost</v>
      </c>
      <c r="K32" s="75" t="str">
        <f t="shared" si="6"/>
        <v xml:space="preserve"> CF C2 Brickwork</v>
      </c>
      <c r="L32" s="76" t="str">
        <f t="shared" si="7"/>
        <v xml:space="preserve"> CF C2-4 Bambu &amp; Brics</v>
      </c>
      <c r="M32" s="70" t="str">
        <f t="shared" si="3"/>
        <v xml:space="preserve"> PL C Construction Cost</v>
      </c>
      <c r="N32" s="71" t="str">
        <f t="shared" si="4"/>
        <v xml:space="preserve"> PL C2 Brickwork</v>
      </c>
      <c r="O32" s="78" t="str">
        <f t="shared" si="5"/>
        <v xml:space="preserve"> PL C2-4 Bambu &amp; Brics</v>
      </c>
    </row>
    <row r="33" spans="1:15">
      <c r="A33" s="49" t="s">
        <v>885</v>
      </c>
      <c r="B33" s="49" t="s">
        <v>885</v>
      </c>
      <c r="C33" s="66" t="s">
        <v>827</v>
      </c>
      <c r="D33" s="66" t="s">
        <v>740</v>
      </c>
      <c r="E33" s="66">
        <v>2</v>
      </c>
      <c r="F33" s="66" t="s">
        <v>286</v>
      </c>
      <c r="G33" s="66">
        <f t="shared" si="10"/>
        <v>5</v>
      </c>
      <c r="H33" s="66" t="s">
        <v>710</v>
      </c>
      <c r="J33" s="74" t="str">
        <f t="shared" si="0"/>
        <v xml:space="preserve"> CF C Construction Cost</v>
      </c>
      <c r="K33" s="75" t="str">
        <f t="shared" si="6"/>
        <v xml:space="preserve"> CF C2 Brickwork</v>
      </c>
      <c r="L33" s="76" t="str">
        <f t="shared" si="7"/>
        <v xml:space="preserve"> CF C2-5 Chemical</v>
      </c>
      <c r="M33" s="70" t="str">
        <f t="shared" si="3"/>
        <v xml:space="preserve"> PL C Construction Cost</v>
      </c>
      <c r="N33" s="71" t="str">
        <f t="shared" si="4"/>
        <v xml:space="preserve"> PL C2 Brickwork</v>
      </c>
      <c r="O33" s="78" t="str">
        <f t="shared" si="5"/>
        <v xml:space="preserve"> PL C2-5 Chemical</v>
      </c>
    </row>
    <row r="34" spans="1:15">
      <c r="A34" s="49" t="s">
        <v>885</v>
      </c>
      <c r="B34" s="49" t="s">
        <v>885</v>
      </c>
      <c r="C34" s="66" t="s">
        <v>827</v>
      </c>
      <c r="D34" s="66" t="s">
        <v>740</v>
      </c>
      <c r="E34" s="66">
        <v>2</v>
      </c>
      <c r="F34" s="66" t="s">
        <v>286</v>
      </c>
      <c r="G34" s="66">
        <f t="shared" si="10"/>
        <v>6</v>
      </c>
      <c r="H34" s="66" t="s">
        <v>708</v>
      </c>
      <c r="J34" s="74" t="str">
        <f t="shared" si="0"/>
        <v xml:space="preserve"> CF C Construction Cost</v>
      </c>
      <c r="K34" s="75" t="str">
        <f t="shared" si="6"/>
        <v xml:space="preserve"> CF C2 Brickwork</v>
      </c>
      <c r="L34" s="76" t="str">
        <f t="shared" si="7"/>
        <v xml:space="preserve"> CF C2-6 Popular Blockset</v>
      </c>
      <c r="M34" s="70" t="str">
        <f t="shared" si="3"/>
        <v xml:space="preserve"> PL C Construction Cost</v>
      </c>
      <c r="N34" s="71" t="str">
        <f t="shared" si="4"/>
        <v xml:space="preserve"> PL C2 Brickwork</v>
      </c>
      <c r="O34" s="78" t="str">
        <f t="shared" si="5"/>
        <v xml:space="preserve"> PL C2-6 Popular Blockset</v>
      </c>
    </row>
    <row r="35" spans="1:15">
      <c r="A35" s="49" t="s">
        <v>885</v>
      </c>
      <c r="B35" s="49" t="s">
        <v>885</v>
      </c>
      <c r="C35" s="66" t="s">
        <v>827</v>
      </c>
      <c r="D35" s="66" t="s">
        <v>740</v>
      </c>
      <c r="E35" s="66">
        <v>3</v>
      </c>
      <c r="F35" s="66" t="s">
        <v>275</v>
      </c>
      <c r="G35" s="66">
        <v>1</v>
      </c>
      <c r="H35" s="66" t="s">
        <v>273</v>
      </c>
      <c r="I35" s="55" t="s">
        <v>272</v>
      </c>
      <c r="J35" s="74" t="str">
        <f t="shared" si="0"/>
        <v xml:space="preserve"> CF C Construction Cost</v>
      </c>
      <c r="K35" s="75" t="str">
        <f t="shared" si="6"/>
        <v xml:space="preserve"> CF C3 Internal Plaster</v>
      </c>
      <c r="L35" s="76" t="str">
        <f t="shared" si="7"/>
        <v xml:space="preserve"> CF C3-1 Plaster Material</v>
      </c>
      <c r="M35" s="70" t="str">
        <f t="shared" si="3"/>
        <v xml:space="preserve"> PL C Construction Cost</v>
      </c>
      <c r="N35" s="71" t="str">
        <f t="shared" si="4"/>
        <v xml:space="preserve"> PL C3 Internal Plaster</v>
      </c>
      <c r="O35" s="78" t="str">
        <f t="shared" si="5"/>
        <v xml:space="preserve"> PL C3-1 Plaster Material</v>
      </c>
    </row>
    <row r="36" spans="1:15">
      <c r="A36" s="49" t="s">
        <v>885</v>
      </c>
      <c r="B36" s="49" t="s">
        <v>885</v>
      </c>
      <c r="C36" s="66" t="s">
        <v>827</v>
      </c>
      <c r="D36" s="66" t="s">
        <v>740</v>
      </c>
      <c r="E36" s="66">
        <v>3</v>
      </c>
      <c r="F36" s="66" t="s">
        <v>275</v>
      </c>
      <c r="G36" s="66">
        <v>2</v>
      </c>
      <c r="H36" s="66" t="s">
        <v>269</v>
      </c>
      <c r="I36" s="55" t="s">
        <v>268</v>
      </c>
      <c r="J36" s="74" t="str">
        <f t="shared" si="0"/>
        <v xml:space="preserve"> CF C Construction Cost</v>
      </c>
      <c r="K36" s="75" t="str">
        <f t="shared" si="6"/>
        <v xml:space="preserve"> CF C3 Internal Plaster</v>
      </c>
      <c r="L36" s="76" t="str">
        <f t="shared" si="7"/>
        <v xml:space="preserve"> CF C3-2 Plaster Labour</v>
      </c>
      <c r="M36" s="70" t="str">
        <f t="shared" si="3"/>
        <v xml:space="preserve"> PL C Construction Cost</v>
      </c>
      <c r="N36" s="71" t="str">
        <f t="shared" si="4"/>
        <v xml:space="preserve"> PL C3 Internal Plaster</v>
      </c>
      <c r="O36" s="78" t="str">
        <f t="shared" si="5"/>
        <v xml:space="preserve"> PL C3-2 Plaster Labour</v>
      </c>
    </row>
    <row r="37" spans="1:15">
      <c r="A37" s="49" t="s">
        <v>885</v>
      </c>
      <c r="B37" s="49" t="s">
        <v>885</v>
      </c>
      <c r="C37" s="66" t="s">
        <v>827</v>
      </c>
      <c r="D37" s="66" t="s">
        <v>740</v>
      </c>
      <c r="E37" s="66">
        <v>3</v>
      </c>
      <c r="F37" s="66" t="s">
        <v>275</v>
      </c>
      <c r="G37" s="66">
        <v>3</v>
      </c>
      <c r="H37" s="66" t="s">
        <v>703</v>
      </c>
      <c r="J37" s="74" t="str">
        <f t="shared" si="0"/>
        <v xml:space="preserve"> CF C Construction Cost</v>
      </c>
      <c r="K37" s="75" t="str">
        <f t="shared" si="6"/>
        <v xml:space="preserve"> CF C3 Internal Plaster</v>
      </c>
      <c r="L37" s="76" t="str">
        <f t="shared" si="7"/>
        <v xml:space="preserve"> CF C3-3 Gypsum Material</v>
      </c>
      <c r="M37" s="70" t="str">
        <f t="shared" si="3"/>
        <v xml:space="preserve"> PL C Construction Cost</v>
      </c>
      <c r="N37" s="71" t="str">
        <f t="shared" si="4"/>
        <v xml:space="preserve"> PL C3 Internal Plaster</v>
      </c>
      <c r="O37" s="78" t="str">
        <f t="shared" si="5"/>
        <v xml:space="preserve"> PL C3-3 Gypsum Material</v>
      </c>
    </row>
    <row r="38" spans="1:15">
      <c r="A38" s="49" t="s">
        <v>885</v>
      </c>
      <c r="B38" s="49" t="s">
        <v>885</v>
      </c>
      <c r="C38" s="66" t="s">
        <v>827</v>
      </c>
      <c r="D38" s="66" t="s">
        <v>740</v>
      </c>
      <c r="E38" s="66">
        <v>3</v>
      </c>
      <c r="F38" s="66" t="s">
        <v>275</v>
      </c>
      <c r="G38" s="66">
        <v>4</v>
      </c>
      <c r="H38" s="66" t="s">
        <v>700</v>
      </c>
      <c r="J38" s="74" t="str">
        <f t="shared" si="0"/>
        <v xml:space="preserve"> CF C Construction Cost</v>
      </c>
      <c r="K38" s="75" t="str">
        <f t="shared" si="6"/>
        <v xml:space="preserve"> CF C3 Internal Plaster</v>
      </c>
      <c r="L38" s="76" t="str">
        <f t="shared" si="7"/>
        <v xml:space="preserve"> CF C3-4 Gypsum Work</v>
      </c>
      <c r="M38" s="70" t="str">
        <f t="shared" si="3"/>
        <v xml:space="preserve"> PL C Construction Cost</v>
      </c>
      <c r="N38" s="71" t="str">
        <f t="shared" si="4"/>
        <v xml:space="preserve"> PL C3 Internal Plaster</v>
      </c>
      <c r="O38" s="78" t="str">
        <f t="shared" si="5"/>
        <v xml:space="preserve"> PL C3-4 Gypsum Work</v>
      </c>
    </row>
    <row r="39" spans="1:15">
      <c r="A39" s="49" t="s">
        <v>885</v>
      </c>
      <c r="B39" s="49" t="s">
        <v>885</v>
      </c>
      <c r="C39" s="66" t="s">
        <v>827</v>
      </c>
      <c r="D39" s="66" t="s">
        <v>740</v>
      </c>
      <c r="E39" s="66">
        <v>4</v>
      </c>
      <c r="F39" s="66" t="s">
        <v>267</v>
      </c>
      <c r="G39" s="66">
        <v>1</v>
      </c>
      <c r="H39" s="66" t="s">
        <v>265</v>
      </c>
      <c r="I39" s="55" t="s">
        <v>264</v>
      </c>
      <c r="J39" s="74" t="str">
        <f t="shared" si="0"/>
        <v xml:space="preserve"> CF C Construction Cost</v>
      </c>
      <c r="K39" s="75" t="str">
        <f t="shared" si="6"/>
        <v xml:space="preserve"> CF C4 External Plaster</v>
      </c>
      <c r="L39" s="76" t="str">
        <f t="shared" si="7"/>
        <v xml:space="preserve"> CF C4-1 External Plaster Material</v>
      </c>
      <c r="M39" s="70" t="str">
        <f t="shared" si="3"/>
        <v xml:space="preserve"> PL C Construction Cost</v>
      </c>
      <c r="N39" s="71" t="str">
        <f t="shared" si="4"/>
        <v xml:space="preserve"> PL C4 External Plaster</v>
      </c>
      <c r="O39" s="78" t="str">
        <f t="shared" si="5"/>
        <v xml:space="preserve"> PL C4-1 External Plaster Material</v>
      </c>
    </row>
    <row r="40" spans="1:15">
      <c r="A40" s="49" t="s">
        <v>885</v>
      </c>
      <c r="B40" s="49" t="s">
        <v>885</v>
      </c>
      <c r="C40" s="66" t="s">
        <v>827</v>
      </c>
      <c r="D40" s="66" t="s">
        <v>740</v>
      </c>
      <c r="E40" s="66">
        <v>4</v>
      </c>
      <c r="F40" s="66" t="s">
        <v>267</v>
      </c>
      <c r="G40" s="66">
        <v>2</v>
      </c>
      <c r="H40" s="66" t="s">
        <v>261</v>
      </c>
      <c r="I40" s="55" t="s">
        <v>260</v>
      </c>
      <c r="J40" s="74" t="str">
        <f t="shared" si="0"/>
        <v xml:space="preserve"> CF C Construction Cost</v>
      </c>
      <c r="K40" s="75" t="str">
        <f t="shared" si="6"/>
        <v xml:space="preserve"> CF C4 External Plaster</v>
      </c>
      <c r="L40" s="76" t="str">
        <f t="shared" si="7"/>
        <v xml:space="preserve"> CF C4-2 External Plaster Labour</v>
      </c>
      <c r="M40" s="70" t="str">
        <f t="shared" si="3"/>
        <v xml:space="preserve"> PL C Construction Cost</v>
      </c>
      <c r="N40" s="71" t="str">
        <f t="shared" si="4"/>
        <v xml:space="preserve"> PL C4 External Plaster</v>
      </c>
      <c r="O40" s="78" t="str">
        <f t="shared" si="5"/>
        <v xml:space="preserve"> PL C4-2 External Plaster Labour</v>
      </c>
    </row>
    <row r="41" spans="1:15">
      <c r="A41" s="49" t="s">
        <v>885</v>
      </c>
      <c r="B41" s="49" t="s">
        <v>885</v>
      </c>
      <c r="C41" s="66" t="s">
        <v>827</v>
      </c>
      <c r="D41" s="66" t="s">
        <v>740</v>
      </c>
      <c r="E41" s="66">
        <v>5</v>
      </c>
      <c r="F41" s="66" t="s">
        <v>259</v>
      </c>
      <c r="G41" s="66">
        <v>1</v>
      </c>
      <c r="H41" s="66" t="s">
        <v>257</v>
      </c>
      <c r="I41" s="55" t="s">
        <v>256</v>
      </c>
      <c r="J41" s="74" t="str">
        <f t="shared" si="0"/>
        <v xml:space="preserve"> CF C Construction Cost</v>
      </c>
      <c r="K41" s="75" t="str">
        <f t="shared" si="6"/>
        <v xml:space="preserve"> CF C5 Flooring</v>
      </c>
      <c r="L41" s="76" t="str">
        <f t="shared" si="7"/>
        <v xml:space="preserve"> CF C5-1 Tiles</v>
      </c>
      <c r="M41" s="70" t="str">
        <f t="shared" si="3"/>
        <v xml:space="preserve"> PL C Construction Cost</v>
      </c>
      <c r="N41" s="71" t="str">
        <f t="shared" si="4"/>
        <v xml:space="preserve"> PL C5 Flooring</v>
      </c>
      <c r="O41" s="78" t="str">
        <f t="shared" si="5"/>
        <v xml:space="preserve"> PL C5-1 Tiles</v>
      </c>
    </row>
    <row r="42" spans="1:15">
      <c r="A42" s="49" t="s">
        <v>885</v>
      </c>
      <c r="B42" s="49" t="s">
        <v>885</v>
      </c>
      <c r="C42" s="66" t="s">
        <v>827</v>
      </c>
      <c r="D42" s="66" t="s">
        <v>740</v>
      </c>
      <c r="E42" s="66">
        <v>5</v>
      </c>
      <c r="F42" s="66" t="s">
        <v>259</v>
      </c>
      <c r="G42" s="66">
        <v>6</v>
      </c>
      <c r="H42" s="66" t="s">
        <v>964</v>
      </c>
      <c r="J42" s="74" t="str">
        <f t="shared" si="0"/>
        <v xml:space="preserve"> CF C Construction Cost</v>
      </c>
      <c r="K42" s="75" t="str">
        <f t="shared" si="6"/>
        <v xml:space="preserve"> CF C5 Flooring</v>
      </c>
      <c r="L42" s="76" t="str">
        <f t="shared" si="7"/>
        <v xml:space="preserve"> CF C5-6 Tiles Labour</v>
      </c>
      <c r="M42" s="70" t="str">
        <f t="shared" si="3"/>
        <v xml:space="preserve"> PL C Construction Cost</v>
      </c>
      <c r="N42" s="71" t="str">
        <f t="shared" ref="N42" si="11">IF(M42=0,0,IF(ISBLANK($F42)=FALSE,CONCATENATE(,$C$2," ",$M$2," ",$C42,$E42," ",$F42),0))</f>
        <v xml:space="preserve"> PL C5 Flooring</v>
      </c>
      <c r="O42" s="78" t="str">
        <f t="shared" ref="O42" si="12">IF(N42=0,0,IF(ISBLANK($F42)=FALSE,CONCATENATE(,$C$2," ",$M$2," ",$C42,$E42,,"-",$G42,," ",$H42),0))</f>
        <v xml:space="preserve"> PL C5-6 Tiles Labour</v>
      </c>
    </row>
    <row r="43" spans="1:15">
      <c r="A43" s="49" t="s">
        <v>885</v>
      </c>
      <c r="B43" s="49" t="s">
        <v>885</v>
      </c>
      <c r="C43" s="66" t="s">
        <v>827</v>
      </c>
      <c r="D43" s="66" t="s">
        <v>740</v>
      </c>
      <c r="E43" s="66">
        <v>5</v>
      </c>
      <c r="F43" s="66" t="s">
        <v>259</v>
      </c>
      <c r="G43" s="66">
        <v>2</v>
      </c>
      <c r="H43" s="66" t="s">
        <v>694</v>
      </c>
      <c r="I43" s="55" t="s">
        <v>253</v>
      </c>
      <c r="J43" s="74" t="str">
        <f t="shared" si="0"/>
        <v xml:space="preserve"> CF C Construction Cost</v>
      </c>
      <c r="K43" s="75" t="str">
        <f t="shared" si="6"/>
        <v xml:space="preserve"> CF C5 Flooring</v>
      </c>
      <c r="L43" s="76" t="str">
        <f t="shared" si="7"/>
        <v xml:space="preserve"> CF C5-2 Marble</v>
      </c>
      <c r="M43" s="70" t="str">
        <f t="shared" si="3"/>
        <v xml:space="preserve"> PL C Construction Cost</v>
      </c>
      <c r="N43" s="71" t="str">
        <f t="shared" si="4"/>
        <v xml:space="preserve"> PL C5 Flooring</v>
      </c>
      <c r="O43" s="78" t="str">
        <f t="shared" si="5"/>
        <v xml:space="preserve"> PL C5-2 Marble</v>
      </c>
    </row>
    <row r="44" spans="1:15">
      <c r="A44" s="49" t="s">
        <v>885</v>
      </c>
      <c r="B44" s="49" t="s">
        <v>885</v>
      </c>
      <c r="C44" s="66" t="s">
        <v>827</v>
      </c>
      <c r="D44" s="66" t="s">
        <v>740</v>
      </c>
      <c r="E44" s="66">
        <v>5</v>
      </c>
      <c r="F44" s="66" t="s">
        <v>259</v>
      </c>
      <c r="G44" s="66">
        <v>3</v>
      </c>
      <c r="H44" s="66" t="s">
        <v>692</v>
      </c>
      <c r="J44" s="74" t="str">
        <f t="shared" si="0"/>
        <v xml:space="preserve"> CF C Construction Cost</v>
      </c>
      <c r="K44" s="75" t="str">
        <f t="shared" si="6"/>
        <v xml:space="preserve"> CF C5 Flooring</v>
      </c>
      <c r="L44" s="76" t="str">
        <f t="shared" si="7"/>
        <v xml:space="preserve"> CF C5-3 Granite</v>
      </c>
      <c r="M44" s="70" t="str">
        <f t="shared" si="3"/>
        <v xml:space="preserve"> PL C Construction Cost</v>
      </c>
      <c r="N44" s="71" t="str">
        <f t="shared" si="4"/>
        <v xml:space="preserve"> PL C5 Flooring</v>
      </c>
      <c r="O44" s="78" t="str">
        <f t="shared" si="5"/>
        <v xml:space="preserve"> PL C5-3 Granite</v>
      </c>
    </row>
    <row r="45" spans="1:15">
      <c r="A45" s="49" t="s">
        <v>885</v>
      </c>
      <c r="B45" s="49" t="s">
        <v>885</v>
      </c>
      <c r="C45" s="66" t="s">
        <v>827</v>
      </c>
      <c r="D45" s="66" t="s">
        <v>740</v>
      </c>
      <c r="E45" s="66">
        <v>5</v>
      </c>
      <c r="F45" s="66" t="s">
        <v>259</v>
      </c>
      <c r="G45" s="66">
        <v>4</v>
      </c>
      <c r="H45" s="66" t="s">
        <v>251</v>
      </c>
      <c r="I45" s="55" t="s">
        <v>250</v>
      </c>
      <c r="J45" s="74" t="str">
        <f t="shared" si="0"/>
        <v xml:space="preserve"> CF C Construction Cost</v>
      </c>
      <c r="K45" s="75" t="str">
        <f t="shared" si="6"/>
        <v xml:space="preserve"> CF C5 Flooring</v>
      </c>
      <c r="L45" s="76" t="str">
        <f t="shared" si="7"/>
        <v xml:space="preserve"> CF C5-4 Flooring Labour</v>
      </c>
      <c r="M45" s="70" t="str">
        <f t="shared" si="3"/>
        <v xml:space="preserve"> PL C Construction Cost</v>
      </c>
      <c r="N45" s="71" t="str">
        <f t="shared" si="4"/>
        <v xml:space="preserve"> PL C5 Flooring</v>
      </c>
      <c r="O45" s="78" t="str">
        <f t="shared" si="5"/>
        <v xml:space="preserve"> PL C5-4 Flooring Labour</v>
      </c>
    </row>
    <row r="46" spans="1:15">
      <c r="A46" s="49" t="s">
        <v>885</v>
      </c>
      <c r="B46" s="49" t="s">
        <v>885</v>
      </c>
      <c r="C46" s="66" t="s">
        <v>827</v>
      </c>
      <c r="D46" s="66" t="s">
        <v>740</v>
      </c>
      <c r="E46" s="66">
        <v>5</v>
      </c>
      <c r="F46" s="66" t="s">
        <v>259</v>
      </c>
      <c r="G46" s="66">
        <v>5</v>
      </c>
      <c r="H46" s="66" t="s">
        <v>688</v>
      </c>
      <c r="J46" s="74" t="str">
        <f t="shared" si="0"/>
        <v xml:space="preserve"> CF C Construction Cost</v>
      </c>
      <c r="K46" s="75" t="str">
        <f t="shared" si="6"/>
        <v xml:space="preserve"> CF C5 Flooring</v>
      </c>
      <c r="L46" s="76" t="str">
        <f t="shared" si="7"/>
        <v xml:space="preserve"> CF C5-5 Grout Work</v>
      </c>
      <c r="M46" s="70" t="str">
        <f t="shared" si="3"/>
        <v xml:space="preserve"> PL C Construction Cost</v>
      </c>
      <c r="N46" s="71" t="str">
        <f t="shared" si="4"/>
        <v xml:space="preserve"> PL C5 Flooring</v>
      </c>
      <c r="O46" s="78" t="str">
        <f t="shared" si="5"/>
        <v xml:space="preserve"> PL C5-5 Grout Work</v>
      </c>
    </row>
    <row r="47" spans="1:15">
      <c r="A47" s="49" t="s">
        <v>885</v>
      </c>
      <c r="B47" s="49" t="s">
        <v>885</v>
      </c>
      <c r="C47" s="66" t="s">
        <v>827</v>
      </c>
      <c r="D47" s="66" t="s">
        <v>740</v>
      </c>
      <c r="E47" s="66">
        <v>6</v>
      </c>
      <c r="F47" s="66" t="s">
        <v>246</v>
      </c>
      <c r="G47" s="66">
        <v>1</v>
      </c>
      <c r="H47" s="66" t="s">
        <v>244</v>
      </c>
      <c r="I47" s="55" t="s">
        <v>243</v>
      </c>
      <c r="J47" s="74" t="str">
        <f t="shared" si="0"/>
        <v xml:space="preserve"> CF C Construction Cost</v>
      </c>
      <c r="K47" s="75" t="str">
        <f t="shared" si="6"/>
        <v xml:space="preserve"> CF C6 Doors &amp; Windows</v>
      </c>
      <c r="L47" s="76" t="str">
        <f t="shared" si="7"/>
        <v xml:space="preserve"> CF C6-1 Door Frames</v>
      </c>
      <c r="M47" s="70" t="str">
        <f t="shared" si="3"/>
        <v xml:space="preserve"> PL C Construction Cost</v>
      </c>
      <c r="N47" s="71" t="str">
        <f t="shared" si="4"/>
        <v xml:space="preserve"> PL C6 Doors &amp; Windows</v>
      </c>
      <c r="O47" s="78" t="str">
        <f t="shared" si="5"/>
        <v xml:space="preserve"> PL C6-1 Door Frames</v>
      </c>
    </row>
    <row r="48" spans="1:15">
      <c r="A48" s="49" t="s">
        <v>885</v>
      </c>
      <c r="B48" s="49" t="s">
        <v>885</v>
      </c>
      <c r="C48" s="66" t="s">
        <v>827</v>
      </c>
      <c r="D48" s="66" t="s">
        <v>740</v>
      </c>
      <c r="E48" s="66">
        <v>6</v>
      </c>
      <c r="F48" s="66" t="s">
        <v>246</v>
      </c>
      <c r="G48" s="66">
        <f>+G47+1</f>
        <v>2</v>
      </c>
      <c r="H48" s="66" t="s">
        <v>241</v>
      </c>
      <c r="I48" s="55" t="s">
        <v>240</v>
      </c>
      <c r="J48" s="74" t="str">
        <f t="shared" si="0"/>
        <v xml:space="preserve"> CF C Construction Cost</v>
      </c>
      <c r="K48" s="75" t="str">
        <f t="shared" si="6"/>
        <v xml:space="preserve"> CF C6 Doors &amp; Windows</v>
      </c>
      <c r="L48" s="76" t="str">
        <f t="shared" si="7"/>
        <v xml:space="preserve"> CF C6-2 Door Shutters</v>
      </c>
      <c r="M48" s="70" t="str">
        <f t="shared" si="3"/>
        <v xml:space="preserve"> PL C Construction Cost</v>
      </c>
      <c r="N48" s="71" t="str">
        <f t="shared" si="4"/>
        <v xml:space="preserve"> PL C6 Doors &amp; Windows</v>
      </c>
      <c r="O48" s="78" t="str">
        <f t="shared" si="5"/>
        <v xml:space="preserve"> PL C6-2 Door Shutters</v>
      </c>
    </row>
    <row r="49" spans="1:15">
      <c r="A49" s="49" t="s">
        <v>885</v>
      </c>
      <c r="B49" s="49" t="s">
        <v>885</v>
      </c>
      <c r="C49" s="66" t="s">
        <v>827</v>
      </c>
      <c r="D49" s="66" t="s">
        <v>740</v>
      </c>
      <c r="E49" s="66">
        <v>6</v>
      </c>
      <c r="F49" s="66" t="s">
        <v>246</v>
      </c>
      <c r="G49" s="66">
        <f t="shared" ref="G49:G56" si="13">+G48+1</f>
        <v>3</v>
      </c>
      <c r="H49" s="66" t="s">
        <v>238</v>
      </c>
      <c r="I49" s="55" t="s">
        <v>237</v>
      </c>
      <c r="J49" s="74" t="str">
        <f t="shared" si="0"/>
        <v xml:space="preserve"> CF C Construction Cost</v>
      </c>
      <c r="K49" s="75" t="str">
        <f t="shared" si="6"/>
        <v xml:space="preserve"> CF C6 Doors &amp; Windows</v>
      </c>
      <c r="L49" s="76" t="str">
        <f t="shared" si="7"/>
        <v xml:space="preserve"> CF C6-3 Window Frames</v>
      </c>
      <c r="M49" s="70" t="str">
        <f t="shared" si="3"/>
        <v xml:space="preserve"> PL C Construction Cost</v>
      </c>
      <c r="N49" s="71" t="str">
        <f t="shared" si="4"/>
        <v xml:space="preserve"> PL C6 Doors &amp; Windows</v>
      </c>
      <c r="O49" s="78" t="str">
        <f t="shared" si="5"/>
        <v xml:space="preserve"> PL C6-3 Window Frames</v>
      </c>
    </row>
    <row r="50" spans="1:15">
      <c r="A50" s="49" t="s">
        <v>885</v>
      </c>
      <c r="B50" s="49" t="s">
        <v>885</v>
      </c>
      <c r="C50" s="66" t="s">
        <v>827</v>
      </c>
      <c r="D50" s="66" t="s">
        <v>740</v>
      </c>
      <c r="E50" s="66">
        <v>6</v>
      </c>
      <c r="F50" s="66" t="s">
        <v>246</v>
      </c>
      <c r="G50" s="66">
        <f t="shared" si="13"/>
        <v>4</v>
      </c>
      <c r="H50" s="66" t="s">
        <v>683</v>
      </c>
      <c r="I50" s="55" t="s">
        <v>231</v>
      </c>
      <c r="J50" s="74" t="str">
        <f t="shared" si="0"/>
        <v xml:space="preserve"> CF C Construction Cost</v>
      </c>
      <c r="K50" s="75" t="str">
        <f t="shared" si="6"/>
        <v xml:space="preserve"> CF C6 Doors &amp; Windows</v>
      </c>
      <c r="L50" s="76" t="str">
        <f t="shared" si="7"/>
        <v xml:space="preserve"> CF C6-4 Glass work</v>
      </c>
      <c r="M50" s="70" t="str">
        <f t="shared" si="3"/>
        <v xml:space="preserve"> PL C Construction Cost</v>
      </c>
      <c r="N50" s="71" t="str">
        <f t="shared" si="4"/>
        <v xml:space="preserve"> PL C6 Doors &amp; Windows</v>
      </c>
      <c r="O50" s="78" t="str">
        <f t="shared" si="5"/>
        <v xml:space="preserve"> PL C6-4 Glass work</v>
      </c>
    </row>
    <row r="51" spans="1:15">
      <c r="A51" s="49" t="s">
        <v>885</v>
      </c>
      <c r="B51" s="49" t="s">
        <v>885</v>
      </c>
      <c r="C51" s="66" t="s">
        <v>827</v>
      </c>
      <c r="D51" s="66" t="s">
        <v>740</v>
      </c>
      <c r="E51" s="66">
        <v>6</v>
      </c>
      <c r="F51" s="66" t="s">
        <v>246</v>
      </c>
      <c r="G51" s="66">
        <f t="shared" si="13"/>
        <v>5</v>
      </c>
      <c r="H51" s="66" t="s">
        <v>681</v>
      </c>
      <c r="I51" s="55" t="s">
        <v>681</v>
      </c>
      <c r="J51" s="74" t="str">
        <f t="shared" si="0"/>
        <v xml:space="preserve"> CF C Construction Cost</v>
      </c>
      <c r="K51" s="75" t="str">
        <f t="shared" si="6"/>
        <v xml:space="preserve"> CF C6 Doors &amp; Windows</v>
      </c>
      <c r="L51" s="76" t="str">
        <f t="shared" si="7"/>
        <v xml:space="preserve"> CF C6-5 Coated Sheet</v>
      </c>
      <c r="M51" s="70" t="str">
        <f t="shared" si="3"/>
        <v xml:space="preserve"> PL C Construction Cost</v>
      </c>
      <c r="N51" s="71" t="str">
        <f t="shared" si="4"/>
        <v xml:space="preserve"> PL C6 Doors &amp; Windows</v>
      </c>
      <c r="O51" s="78" t="str">
        <f t="shared" si="5"/>
        <v xml:space="preserve"> PL C6-5 Coated Sheet</v>
      </c>
    </row>
    <row r="52" spans="1:15">
      <c r="A52" s="49" t="s">
        <v>885</v>
      </c>
      <c r="B52" s="49" t="s">
        <v>885</v>
      </c>
      <c r="C52" s="66" t="s">
        <v>827</v>
      </c>
      <c r="D52" s="66" t="s">
        <v>740</v>
      </c>
      <c r="E52" s="66">
        <v>6</v>
      </c>
      <c r="F52" s="66" t="s">
        <v>246</v>
      </c>
      <c r="G52" s="66">
        <f t="shared" si="13"/>
        <v>6</v>
      </c>
      <c r="H52" s="66" t="s">
        <v>232</v>
      </c>
      <c r="J52" s="74" t="str">
        <f t="shared" si="0"/>
        <v xml:space="preserve"> CF C Construction Cost</v>
      </c>
      <c r="K52" s="75" t="str">
        <f t="shared" si="6"/>
        <v xml:space="preserve"> CF C6 Doors &amp; Windows</v>
      </c>
      <c r="L52" s="76" t="str">
        <f t="shared" si="7"/>
        <v xml:space="preserve"> CF C6-6 Carpenter Work---Labour</v>
      </c>
      <c r="M52" s="70" t="str">
        <f t="shared" si="3"/>
        <v xml:space="preserve"> PL C Construction Cost</v>
      </c>
      <c r="N52" s="71" t="str">
        <f t="shared" si="4"/>
        <v xml:space="preserve"> PL C6 Doors &amp; Windows</v>
      </c>
      <c r="O52" s="78" t="str">
        <f t="shared" si="5"/>
        <v xml:space="preserve"> PL C6-6 Carpenter Work---Labour</v>
      </c>
    </row>
    <row r="53" spans="1:15">
      <c r="A53" s="49" t="s">
        <v>885</v>
      </c>
      <c r="B53" s="49" t="s">
        <v>885</v>
      </c>
      <c r="C53" s="66" t="s">
        <v>827</v>
      </c>
      <c r="D53" s="66" t="s">
        <v>740</v>
      </c>
      <c r="E53" s="66">
        <v>6</v>
      </c>
      <c r="F53" s="66" t="s">
        <v>246</v>
      </c>
      <c r="G53" s="66">
        <f t="shared" si="13"/>
        <v>7</v>
      </c>
      <c r="H53" s="66" t="s">
        <v>678</v>
      </c>
      <c r="J53" s="74" t="str">
        <f t="shared" si="0"/>
        <v xml:space="preserve"> CF C Construction Cost</v>
      </c>
      <c r="K53" s="75" t="str">
        <f t="shared" si="6"/>
        <v xml:space="preserve"> CF C6 Doors &amp; Windows</v>
      </c>
      <c r="L53" s="76" t="str">
        <f t="shared" si="7"/>
        <v xml:space="preserve"> CF C6-7 Carpentry Material</v>
      </c>
      <c r="M53" s="70" t="str">
        <f t="shared" si="3"/>
        <v xml:space="preserve"> PL C Construction Cost</v>
      </c>
      <c r="N53" s="71" t="str">
        <f t="shared" si="4"/>
        <v xml:space="preserve"> PL C6 Doors &amp; Windows</v>
      </c>
      <c r="O53" s="78" t="str">
        <f t="shared" si="5"/>
        <v xml:space="preserve"> PL C6-7 Carpentry Material</v>
      </c>
    </row>
    <row r="54" spans="1:15">
      <c r="A54" s="49" t="s">
        <v>885</v>
      </c>
      <c r="B54" s="49" t="s">
        <v>885</v>
      </c>
      <c r="C54" s="66" t="s">
        <v>827</v>
      </c>
      <c r="D54" s="66" t="s">
        <v>740</v>
      </c>
      <c r="E54" s="66">
        <v>6</v>
      </c>
      <c r="F54" s="66" t="s">
        <v>246</v>
      </c>
      <c r="G54" s="66">
        <f t="shared" si="13"/>
        <v>8</v>
      </c>
      <c r="H54" s="66" t="s">
        <v>676</v>
      </c>
      <c r="J54" s="74" t="str">
        <f t="shared" si="0"/>
        <v xml:space="preserve"> CF C Construction Cost</v>
      </c>
      <c r="K54" s="75" t="str">
        <f t="shared" si="6"/>
        <v xml:space="preserve"> CF C6 Doors &amp; Windows</v>
      </c>
      <c r="L54" s="76" t="str">
        <f t="shared" si="7"/>
        <v xml:space="preserve"> CF C6-8 Louvers Material</v>
      </c>
      <c r="M54" s="70" t="str">
        <f t="shared" si="3"/>
        <v xml:space="preserve"> PL C Construction Cost</v>
      </c>
      <c r="N54" s="71" t="str">
        <f t="shared" si="4"/>
        <v xml:space="preserve"> PL C6 Doors &amp; Windows</v>
      </c>
      <c r="O54" s="78" t="str">
        <f t="shared" si="5"/>
        <v xml:space="preserve"> PL C6-8 Louvers Material</v>
      </c>
    </row>
    <row r="55" spans="1:15">
      <c r="A55" s="49" t="s">
        <v>885</v>
      </c>
      <c r="B55" s="49" t="s">
        <v>885</v>
      </c>
      <c r="C55" s="66" t="s">
        <v>827</v>
      </c>
      <c r="D55" s="66" t="s">
        <v>740</v>
      </c>
      <c r="E55" s="66">
        <v>6</v>
      </c>
      <c r="F55" s="66" t="s">
        <v>246</v>
      </c>
      <c r="G55" s="66">
        <f>+G54+1</f>
        <v>9</v>
      </c>
      <c r="H55" s="66" t="s">
        <v>674</v>
      </c>
      <c r="J55" s="74" t="str">
        <f t="shared" si="0"/>
        <v xml:space="preserve"> CF C Construction Cost</v>
      </c>
      <c r="K55" s="75" t="str">
        <f t="shared" si="6"/>
        <v xml:space="preserve"> CF C6 Doors &amp; Windows</v>
      </c>
      <c r="L55" s="76" t="str">
        <f t="shared" si="7"/>
        <v xml:space="preserve"> CF C6-9 Door Installation Work</v>
      </c>
      <c r="M55" s="70" t="str">
        <f t="shared" si="3"/>
        <v xml:space="preserve"> PL C Construction Cost</v>
      </c>
      <c r="N55" s="71" t="str">
        <f t="shared" si="4"/>
        <v xml:space="preserve"> PL C6 Doors &amp; Windows</v>
      </c>
      <c r="O55" s="78" t="str">
        <f t="shared" si="5"/>
        <v xml:space="preserve"> PL C6-9 Door Installation Work</v>
      </c>
    </row>
    <row r="56" spans="1:15">
      <c r="A56" s="49" t="s">
        <v>885</v>
      </c>
      <c r="B56" s="49" t="s">
        <v>885</v>
      </c>
      <c r="C56" s="66" t="s">
        <v>827</v>
      </c>
      <c r="D56" s="66" t="s">
        <v>740</v>
      </c>
      <c r="E56" s="66">
        <v>6</v>
      </c>
      <c r="F56" s="66" t="s">
        <v>246</v>
      </c>
      <c r="G56" s="66">
        <f t="shared" si="13"/>
        <v>10</v>
      </c>
      <c r="H56" s="66" t="s">
        <v>371</v>
      </c>
      <c r="J56" s="74" t="str">
        <f t="shared" si="0"/>
        <v xml:space="preserve"> CF C Construction Cost</v>
      </c>
      <c r="K56" s="75" t="str">
        <f t="shared" si="6"/>
        <v xml:space="preserve"> CF C6 Doors &amp; Windows</v>
      </c>
      <c r="L56" s="76" t="str">
        <f t="shared" si="7"/>
        <v xml:space="preserve"> CF C6-10 Fabrication Work</v>
      </c>
      <c r="M56" s="70" t="str">
        <f t="shared" si="3"/>
        <v xml:space="preserve"> PL C Construction Cost</v>
      </c>
      <c r="N56" s="71" t="str">
        <f t="shared" si="4"/>
        <v xml:space="preserve"> PL C6 Doors &amp; Windows</v>
      </c>
      <c r="O56" s="78" t="str">
        <f t="shared" si="5"/>
        <v xml:space="preserve"> PL C6-10 Fabrication Work</v>
      </c>
    </row>
    <row r="57" spans="1:15">
      <c r="A57" s="49" t="s">
        <v>885</v>
      </c>
      <c r="B57" s="49" t="s">
        <v>885</v>
      </c>
      <c r="C57" s="66" t="s">
        <v>827</v>
      </c>
      <c r="D57" s="66" t="s">
        <v>740</v>
      </c>
      <c r="E57" s="66">
        <v>6</v>
      </c>
      <c r="F57" s="66" t="s">
        <v>246</v>
      </c>
      <c r="G57" s="66">
        <v>11</v>
      </c>
      <c r="H57" s="66" t="s">
        <v>933</v>
      </c>
      <c r="J57" s="74" t="str">
        <f t="shared" si="0"/>
        <v xml:space="preserve"> CF C Construction Cost</v>
      </c>
      <c r="K57" s="75" t="str">
        <f t="shared" si="6"/>
        <v xml:space="preserve"> CF C6 Doors &amp; Windows</v>
      </c>
      <c r="L57" s="76" t="str">
        <f t="shared" si="7"/>
        <v xml:space="preserve"> CF C6-11 Louvers Labour</v>
      </c>
      <c r="M57" s="70" t="str">
        <f t="shared" si="3"/>
        <v xml:space="preserve"> PL C Construction Cost</v>
      </c>
      <c r="N57" s="71" t="str">
        <f t="shared" si="4"/>
        <v xml:space="preserve"> PL C6 Doors &amp; Windows</v>
      </c>
      <c r="O57" s="78" t="str">
        <f t="shared" si="5"/>
        <v xml:space="preserve"> PL C6-11 Louvers Labour</v>
      </c>
    </row>
    <row r="58" spans="1:15">
      <c r="A58" s="49" t="s">
        <v>885</v>
      </c>
      <c r="B58" s="49" t="s">
        <v>885</v>
      </c>
      <c r="C58" s="66" t="s">
        <v>827</v>
      </c>
      <c r="D58" s="66" t="s">
        <v>740</v>
      </c>
      <c r="E58" s="66">
        <v>7</v>
      </c>
      <c r="F58" s="66" t="s">
        <v>230</v>
      </c>
      <c r="G58" s="66">
        <v>1</v>
      </c>
      <c r="H58" s="66" t="s">
        <v>228</v>
      </c>
      <c r="I58" s="55" t="s">
        <v>892</v>
      </c>
      <c r="J58" s="74" t="str">
        <f t="shared" si="0"/>
        <v xml:space="preserve"> CF C Construction Cost</v>
      </c>
      <c r="K58" s="75" t="str">
        <f t="shared" si="6"/>
        <v xml:space="preserve"> CF C7 Electrical</v>
      </c>
      <c r="L58" s="76" t="str">
        <f t="shared" si="7"/>
        <v xml:space="preserve"> CF C7-1 Wires</v>
      </c>
      <c r="M58" s="70" t="str">
        <f t="shared" si="3"/>
        <v xml:space="preserve"> PL C Construction Cost</v>
      </c>
      <c r="N58" s="71" t="str">
        <f t="shared" si="4"/>
        <v xml:space="preserve"> PL C7 Electrical</v>
      </c>
      <c r="O58" s="78" t="str">
        <f t="shared" si="5"/>
        <v xml:space="preserve"> PL C7-1 Wires</v>
      </c>
    </row>
    <row r="59" spans="1:15">
      <c r="A59" s="49" t="s">
        <v>885</v>
      </c>
      <c r="B59" s="49" t="s">
        <v>885</v>
      </c>
      <c r="C59" s="66" t="s">
        <v>827</v>
      </c>
      <c r="D59" s="66" t="s">
        <v>740</v>
      </c>
      <c r="E59" s="66">
        <v>7</v>
      </c>
      <c r="F59" s="66" t="s">
        <v>230</v>
      </c>
      <c r="G59" s="66">
        <f>+G58+1</f>
        <v>2</v>
      </c>
      <c r="H59" s="66" t="s">
        <v>225</v>
      </c>
      <c r="I59" s="55" t="s">
        <v>224</v>
      </c>
      <c r="J59" s="74" t="str">
        <f t="shared" si="0"/>
        <v xml:space="preserve"> CF C Construction Cost</v>
      </c>
      <c r="K59" s="75" t="str">
        <f t="shared" si="6"/>
        <v xml:space="preserve"> CF C7 Electrical</v>
      </c>
      <c r="L59" s="76" t="str">
        <f t="shared" si="7"/>
        <v xml:space="preserve"> CF C7-2 Switches</v>
      </c>
      <c r="M59" s="70" t="str">
        <f t="shared" si="3"/>
        <v xml:space="preserve"> PL C Construction Cost</v>
      </c>
      <c r="N59" s="71" t="str">
        <f t="shared" si="4"/>
        <v xml:space="preserve"> PL C7 Electrical</v>
      </c>
      <c r="O59" s="78" t="str">
        <f t="shared" si="5"/>
        <v xml:space="preserve"> PL C7-2 Switches</v>
      </c>
    </row>
    <row r="60" spans="1:15">
      <c r="A60" s="49" t="s">
        <v>885</v>
      </c>
      <c r="B60" s="49" t="s">
        <v>885</v>
      </c>
      <c r="C60" s="66" t="s">
        <v>827</v>
      </c>
      <c r="D60" s="66" t="s">
        <v>740</v>
      </c>
      <c r="E60" s="66">
        <v>7</v>
      </c>
      <c r="F60" s="66" t="s">
        <v>230</v>
      </c>
      <c r="G60" s="66">
        <f t="shared" ref="G60:G66" si="14">+G59+1</f>
        <v>3</v>
      </c>
      <c r="H60" s="66" t="s">
        <v>222</v>
      </c>
      <c r="I60" s="55" t="s">
        <v>221</v>
      </c>
      <c r="J60" s="74" t="str">
        <f t="shared" si="0"/>
        <v xml:space="preserve"> CF C Construction Cost</v>
      </c>
      <c r="K60" s="75" t="str">
        <f t="shared" si="6"/>
        <v xml:space="preserve"> CF C7 Electrical</v>
      </c>
      <c r="L60" s="76" t="str">
        <f t="shared" si="7"/>
        <v xml:space="preserve"> CF C7-3 DB Panels</v>
      </c>
      <c r="M60" s="70" t="str">
        <f t="shared" si="3"/>
        <v xml:space="preserve"> PL C Construction Cost</v>
      </c>
      <c r="N60" s="71" t="str">
        <f t="shared" ref="N60:N72" si="15">IF(M60=0,0,IF(ISBLANK($F60)=FALSE,CONCATENATE(,$C$2," ",$M$2," ",$C60,$E60," ",$F60),0))</f>
        <v xml:space="preserve"> PL C7 Electrical</v>
      </c>
      <c r="O60" s="78" t="str">
        <f t="shared" ref="O60:O72" si="16">IF(N60=0,0,IF(ISBLANK($F60)=FALSE,CONCATENATE(,$C$2," ",$M$2," ",$C60,$E60,,"-",$G60,," ",$H60),0))</f>
        <v xml:space="preserve"> PL C7-3 DB Panels</v>
      </c>
    </row>
    <row r="61" spans="1:15">
      <c r="A61" s="49" t="s">
        <v>885</v>
      </c>
      <c r="B61" s="49" t="s">
        <v>885</v>
      </c>
      <c r="C61" s="66" t="s">
        <v>827</v>
      </c>
      <c r="D61" s="66" t="s">
        <v>740</v>
      </c>
      <c r="E61" s="66">
        <v>7</v>
      </c>
      <c r="F61" s="66" t="s">
        <v>230</v>
      </c>
      <c r="G61" s="66">
        <f t="shared" si="14"/>
        <v>4</v>
      </c>
      <c r="H61" s="66" t="s">
        <v>219</v>
      </c>
      <c r="I61" s="55" t="s">
        <v>216</v>
      </c>
      <c r="J61" s="74" t="str">
        <f t="shared" si="0"/>
        <v xml:space="preserve"> CF C Construction Cost</v>
      </c>
      <c r="K61" s="75" t="str">
        <f t="shared" si="6"/>
        <v xml:space="preserve"> CF C7 Electrical</v>
      </c>
      <c r="L61" s="76" t="str">
        <f t="shared" si="7"/>
        <v xml:space="preserve"> CF C7-4 Electrical Labour</v>
      </c>
      <c r="M61" s="70" t="str">
        <f t="shared" si="3"/>
        <v xml:space="preserve"> PL C Construction Cost</v>
      </c>
      <c r="N61" s="71" t="str">
        <f t="shared" si="15"/>
        <v xml:space="preserve"> PL C7 Electrical</v>
      </c>
      <c r="O61" s="78" t="str">
        <f t="shared" si="16"/>
        <v xml:space="preserve"> PL C7-4 Electrical Labour</v>
      </c>
    </row>
    <row r="62" spans="1:15">
      <c r="A62" s="49" t="s">
        <v>885</v>
      </c>
      <c r="B62" s="49" t="s">
        <v>885</v>
      </c>
      <c r="C62" s="66" t="s">
        <v>827</v>
      </c>
      <c r="D62" s="66" t="s">
        <v>740</v>
      </c>
      <c r="E62" s="66">
        <v>7</v>
      </c>
      <c r="F62" s="66" t="s">
        <v>230</v>
      </c>
      <c r="G62" s="66">
        <f t="shared" si="14"/>
        <v>5</v>
      </c>
      <c r="H62" s="66" t="s">
        <v>666</v>
      </c>
      <c r="I62" s="55" t="s">
        <v>665</v>
      </c>
      <c r="J62" s="74" t="str">
        <f t="shared" si="0"/>
        <v xml:space="preserve"> CF C Construction Cost</v>
      </c>
      <c r="K62" s="75" t="str">
        <f t="shared" si="6"/>
        <v xml:space="preserve"> CF C7 Electrical</v>
      </c>
      <c r="L62" s="76" t="str">
        <f t="shared" si="7"/>
        <v xml:space="preserve"> CF C7-5 Electrical Meter</v>
      </c>
      <c r="M62" s="70" t="str">
        <f t="shared" si="3"/>
        <v xml:space="preserve"> PL C Construction Cost</v>
      </c>
      <c r="N62" s="71" t="str">
        <f t="shared" si="15"/>
        <v xml:space="preserve"> PL C7 Electrical</v>
      </c>
      <c r="O62" s="78" t="str">
        <f t="shared" si="16"/>
        <v xml:space="preserve"> PL C7-5 Electrical Meter</v>
      </c>
    </row>
    <row r="63" spans="1:15">
      <c r="A63" s="49" t="s">
        <v>885</v>
      </c>
      <c r="B63" s="49" t="s">
        <v>885</v>
      </c>
      <c r="C63" s="66" t="s">
        <v>827</v>
      </c>
      <c r="D63" s="66" t="s">
        <v>740</v>
      </c>
      <c r="E63" s="66">
        <v>7</v>
      </c>
      <c r="F63" s="66" t="s">
        <v>230</v>
      </c>
      <c r="G63" s="66">
        <f t="shared" si="14"/>
        <v>6</v>
      </c>
      <c r="H63" s="66" t="s">
        <v>663</v>
      </c>
      <c r="I63" s="55" t="s">
        <v>663</v>
      </c>
      <c r="J63" s="74" t="str">
        <f t="shared" si="0"/>
        <v xml:space="preserve"> CF C Construction Cost</v>
      </c>
      <c r="K63" s="75" t="str">
        <f t="shared" si="6"/>
        <v xml:space="preserve"> CF C7 Electrical</v>
      </c>
      <c r="L63" s="76" t="str">
        <f t="shared" si="7"/>
        <v xml:space="preserve"> CF C7-6 Exaust Fan </v>
      </c>
      <c r="M63" s="70" t="str">
        <f t="shared" si="3"/>
        <v xml:space="preserve"> PL C Construction Cost</v>
      </c>
      <c r="N63" s="71" t="str">
        <f t="shared" si="15"/>
        <v xml:space="preserve"> PL C7 Electrical</v>
      </c>
      <c r="O63" s="78" t="str">
        <f t="shared" si="16"/>
        <v xml:space="preserve"> PL C7-6 Exaust Fan </v>
      </c>
    </row>
    <row r="64" spans="1:15">
      <c r="A64" s="49" t="s">
        <v>885</v>
      </c>
      <c r="B64" s="49" t="s">
        <v>885</v>
      </c>
      <c r="C64" s="66" t="s">
        <v>827</v>
      </c>
      <c r="D64" s="66" t="s">
        <v>740</v>
      </c>
      <c r="E64" s="66">
        <v>7</v>
      </c>
      <c r="F64" s="66" t="s">
        <v>230</v>
      </c>
      <c r="G64" s="66">
        <f t="shared" si="14"/>
        <v>7</v>
      </c>
      <c r="H64" s="66" t="s">
        <v>661</v>
      </c>
      <c r="J64" s="74" t="str">
        <f t="shared" si="0"/>
        <v xml:space="preserve"> CF C Construction Cost</v>
      </c>
      <c r="K64" s="75" t="str">
        <f t="shared" si="6"/>
        <v xml:space="preserve"> CF C7 Electrical</v>
      </c>
      <c r="L64" s="76" t="str">
        <f t="shared" si="7"/>
        <v xml:space="preserve"> CF C7-7 AC Fitting Work</v>
      </c>
      <c r="M64" s="70" t="str">
        <f t="shared" si="3"/>
        <v xml:space="preserve"> PL C Construction Cost</v>
      </c>
      <c r="N64" s="71" t="str">
        <f t="shared" si="15"/>
        <v xml:space="preserve"> PL C7 Electrical</v>
      </c>
      <c r="O64" s="78" t="str">
        <f t="shared" si="16"/>
        <v xml:space="preserve"> PL C7-7 AC Fitting Work</v>
      </c>
    </row>
    <row r="65" spans="1:15">
      <c r="A65" s="49" t="s">
        <v>885</v>
      </c>
      <c r="B65" s="49" t="s">
        <v>885</v>
      </c>
      <c r="C65" s="66" t="s">
        <v>827</v>
      </c>
      <c r="D65" s="66" t="s">
        <v>740</v>
      </c>
      <c r="E65" s="66">
        <v>7</v>
      </c>
      <c r="F65" s="66" t="s">
        <v>230</v>
      </c>
      <c r="G65" s="66">
        <f t="shared" si="14"/>
        <v>8</v>
      </c>
      <c r="H65" s="66" t="s">
        <v>659</v>
      </c>
      <c r="J65" s="74" t="str">
        <f t="shared" si="0"/>
        <v xml:space="preserve"> CF C Construction Cost</v>
      </c>
      <c r="K65" s="75" t="str">
        <f t="shared" si="6"/>
        <v xml:space="preserve"> CF C7 Electrical</v>
      </c>
      <c r="L65" s="76" t="str">
        <f t="shared" si="7"/>
        <v xml:space="preserve"> CF C7-8 Home Automation</v>
      </c>
      <c r="M65" s="70" t="str">
        <f t="shared" si="3"/>
        <v xml:space="preserve"> PL C Construction Cost</v>
      </c>
      <c r="N65" s="71" t="str">
        <f t="shared" si="15"/>
        <v xml:space="preserve"> PL C7 Electrical</v>
      </c>
      <c r="O65" s="78" t="str">
        <f t="shared" si="16"/>
        <v xml:space="preserve"> PL C7-8 Home Automation</v>
      </c>
    </row>
    <row r="66" spans="1:15">
      <c r="A66" s="49" t="s">
        <v>885</v>
      </c>
      <c r="B66" s="49" t="s">
        <v>885</v>
      </c>
      <c r="C66" s="66" t="s">
        <v>827</v>
      </c>
      <c r="D66" s="66" t="s">
        <v>740</v>
      </c>
      <c r="E66" s="66">
        <v>7</v>
      </c>
      <c r="F66" s="66" t="s">
        <v>230</v>
      </c>
      <c r="G66" s="66">
        <f t="shared" si="14"/>
        <v>9</v>
      </c>
      <c r="H66" s="66" t="s">
        <v>407</v>
      </c>
      <c r="I66" s="55" t="s">
        <v>407</v>
      </c>
      <c r="J66" s="74" t="str">
        <f t="shared" si="0"/>
        <v xml:space="preserve"> CF C Construction Cost</v>
      </c>
      <c r="K66" s="75" t="str">
        <f t="shared" si="6"/>
        <v xml:space="preserve"> CF C7 Electrical</v>
      </c>
      <c r="L66" s="76" t="str">
        <f t="shared" si="7"/>
        <v xml:space="preserve"> CF C7-9 Other electrical material</v>
      </c>
      <c r="M66" s="70" t="str">
        <f t="shared" si="3"/>
        <v xml:space="preserve"> PL C Construction Cost</v>
      </c>
      <c r="N66" s="71" t="str">
        <f t="shared" si="15"/>
        <v xml:space="preserve"> PL C7 Electrical</v>
      </c>
      <c r="O66" s="78" t="str">
        <f t="shared" si="16"/>
        <v xml:space="preserve"> PL C7-9 Other electrical material</v>
      </c>
    </row>
    <row r="67" spans="1:15">
      <c r="A67" s="49" t="s">
        <v>885</v>
      </c>
      <c r="B67" s="49" t="s">
        <v>885</v>
      </c>
      <c r="C67" s="66" t="s">
        <v>827</v>
      </c>
      <c r="D67" s="66" t="s">
        <v>740</v>
      </c>
      <c r="E67" s="66">
        <v>8</v>
      </c>
      <c r="F67" s="66" t="s">
        <v>212</v>
      </c>
      <c r="G67" s="66">
        <v>1</v>
      </c>
      <c r="H67" s="66" t="s">
        <v>210</v>
      </c>
      <c r="I67" s="55" t="s">
        <v>209</v>
      </c>
      <c r="J67" s="74" t="str">
        <f t="shared" si="0"/>
        <v xml:space="preserve"> CF C Construction Cost</v>
      </c>
      <c r="K67" s="75" t="str">
        <f t="shared" si="6"/>
        <v xml:space="preserve"> CF C8 Plumbing</v>
      </c>
      <c r="L67" s="76" t="str">
        <f t="shared" si="7"/>
        <v xml:space="preserve"> CF C8-1 Pipes</v>
      </c>
      <c r="M67" s="70" t="str">
        <f t="shared" si="3"/>
        <v xml:space="preserve"> PL C Construction Cost</v>
      </c>
      <c r="N67" s="71" t="str">
        <f t="shared" si="15"/>
        <v xml:space="preserve"> PL C8 Plumbing</v>
      </c>
      <c r="O67" s="78" t="str">
        <f t="shared" si="16"/>
        <v xml:space="preserve"> PL C8-1 Pipes</v>
      </c>
    </row>
    <row r="68" spans="1:15">
      <c r="A68" s="49" t="s">
        <v>885</v>
      </c>
      <c r="B68" s="49" t="s">
        <v>885</v>
      </c>
      <c r="C68" s="66" t="s">
        <v>827</v>
      </c>
      <c r="D68" s="66" t="s">
        <v>740</v>
      </c>
      <c r="E68" s="66">
        <v>8</v>
      </c>
      <c r="F68" s="66" t="s">
        <v>212</v>
      </c>
      <c r="G68" s="66">
        <f>+G67+1</f>
        <v>2</v>
      </c>
      <c r="H68" s="66" t="s">
        <v>207</v>
      </c>
      <c r="I68" s="55" t="s">
        <v>206</v>
      </c>
      <c r="J68" s="74" t="str">
        <f t="shared" si="0"/>
        <v xml:space="preserve"> CF C Construction Cost</v>
      </c>
      <c r="K68" s="75" t="str">
        <f t="shared" si="6"/>
        <v xml:space="preserve"> CF C8 Plumbing</v>
      </c>
      <c r="L68" s="76" t="str">
        <f t="shared" si="7"/>
        <v xml:space="preserve"> CF C8-2 Fittings</v>
      </c>
      <c r="M68" s="70" t="str">
        <f t="shared" si="3"/>
        <v xml:space="preserve"> PL C Construction Cost</v>
      </c>
      <c r="N68" s="71" t="str">
        <f t="shared" si="15"/>
        <v xml:space="preserve"> PL C8 Plumbing</v>
      </c>
      <c r="O68" s="78" t="str">
        <f t="shared" si="16"/>
        <v xml:space="preserve"> PL C8-2 Fittings</v>
      </c>
    </row>
    <row r="69" spans="1:15">
      <c r="A69" s="49" t="s">
        <v>885</v>
      </c>
      <c r="B69" s="49" t="s">
        <v>885</v>
      </c>
      <c r="C69" s="66" t="s">
        <v>827</v>
      </c>
      <c r="D69" s="66" t="s">
        <v>740</v>
      </c>
      <c r="E69" s="66">
        <v>8</v>
      </c>
      <c r="F69" s="66" t="s">
        <v>212</v>
      </c>
      <c r="G69" s="66">
        <f t="shared" ref="G69:G72" si="17">+G68+1</f>
        <v>3</v>
      </c>
      <c r="H69" s="66" t="s">
        <v>203</v>
      </c>
      <c r="I69" s="55" t="s">
        <v>202</v>
      </c>
      <c r="J69" s="74" t="str">
        <f t="shared" si="0"/>
        <v xml:space="preserve"> CF C Construction Cost</v>
      </c>
      <c r="K69" s="75" t="str">
        <f t="shared" si="6"/>
        <v xml:space="preserve"> CF C8 Plumbing</v>
      </c>
      <c r="L69" s="76" t="str">
        <f t="shared" si="7"/>
        <v xml:space="preserve"> CF C8-3 Plumbing Labour</v>
      </c>
      <c r="M69" s="70" t="str">
        <f t="shared" si="3"/>
        <v xml:space="preserve"> PL C Construction Cost</v>
      </c>
      <c r="N69" s="71" t="str">
        <f t="shared" si="15"/>
        <v xml:space="preserve"> PL C8 Plumbing</v>
      </c>
      <c r="O69" s="78" t="str">
        <f t="shared" si="16"/>
        <v xml:space="preserve"> PL C8-3 Plumbing Labour</v>
      </c>
    </row>
    <row r="70" spans="1:15">
      <c r="A70" s="49" t="s">
        <v>885</v>
      </c>
      <c r="B70" s="49" t="s">
        <v>885</v>
      </c>
      <c r="C70" s="66" t="s">
        <v>827</v>
      </c>
      <c r="D70" s="66" t="s">
        <v>740</v>
      </c>
      <c r="E70" s="66">
        <v>8</v>
      </c>
      <c r="F70" s="66" t="s">
        <v>212</v>
      </c>
      <c r="G70" s="66">
        <f t="shared" si="17"/>
        <v>4</v>
      </c>
      <c r="H70" s="66" t="s">
        <v>652</v>
      </c>
      <c r="I70" s="55" t="s">
        <v>651</v>
      </c>
      <c r="J70" s="74" t="str">
        <f t="shared" si="0"/>
        <v xml:space="preserve"> CF C Construction Cost</v>
      </c>
      <c r="K70" s="75" t="str">
        <f t="shared" si="6"/>
        <v xml:space="preserve"> CF C8 Plumbing</v>
      </c>
      <c r="L70" s="76" t="str">
        <f t="shared" si="7"/>
        <v xml:space="preserve"> CF C8-4 Sanitary Ware</v>
      </c>
      <c r="M70" s="70" t="str">
        <f t="shared" si="3"/>
        <v xml:space="preserve"> PL C Construction Cost</v>
      </c>
      <c r="N70" s="71" t="str">
        <f t="shared" si="15"/>
        <v xml:space="preserve"> PL C8 Plumbing</v>
      </c>
      <c r="O70" s="78" t="str">
        <f t="shared" si="16"/>
        <v xml:space="preserve"> PL C8-4 Sanitary Ware</v>
      </c>
    </row>
    <row r="71" spans="1:15">
      <c r="A71" s="49" t="s">
        <v>885</v>
      </c>
      <c r="B71" s="49" t="s">
        <v>885</v>
      </c>
      <c r="C71" s="66" t="s">
        <v>827</v>
      </c>
      <c r="D71" s="66" t="s">
        <v>740</v>
      </c>
      <c r="E71" s="66">
        <v>8</v>
      </c>
      <c r="F71" s="66" t="s">
        <v>212</v>
      </c>
      <c r="G71" s="66">
        <f t="shared" si="17"/>
        <v>5</v>
      </c>
      <c r="H71" s="66" t="s">
        <v>649</v>
      </c>
      <c r="I71" s="55" t="s">
        <v>649</v>
      </c>
      <c r="J71" s="74" t="str">
        <f t="shared" si="0"/>
        <v xml:space="preserve"> CF C Construction Cost</v>
      </c>
      <c r="K71" s="75" t="str">
        <f t="shared" si="6"/>
        <v xml:space="preserve"> CF C8 Plumbing</v>
      </c>
      <c r="L71" s="76" t="str">
        <f t="shared" si="7"/>
        <v xml:space="preserve"> CF C8-5 Other Misc purchase</v>
      </c>
      <c r="M71" s="70" t="str">
        <f t="shared" si="3"/>
        <v xml:space="preserve"> PL C Construction Cost</v>
      </c>
      <c r="N71" s="71" t="str">
        <f t="shared" si="15"/>
        <v xml:space="preserve"> PL C8 Plumbing</v>
      </c>
      <c r="O71" s="78" t="str">
        <f t="shared" si="16"/>
        <v xml:space="preserve"> PL C8-5 Other Misc purchase</v>
      </c>
    </row>
    <row r="72" spans="1:15">
      <c r="A72" s="49" t="s">
        <v>885</v>
      </c>
      <c r="B72" s="49" t="s">
        <v>885</v>
      </c>
      <c r="C72" s="66" t="s">
        <v>827</v>
      </c>
      <c r="D72" s="66" t="s">
        <v>740</v>
      </c>
      <c r="E72" s="66">
        <v>8</v>
      </c>
      <c r="F72" s="66" t="s">
        <v>212</v>
      </c>
      <c r="G72" s="66">
        <f t="shared" si="17"/>
        <v>6</v>
      </c>
      <c r="H72" s="66" t="s">
        <v>646</v>
      </c>
      <c r="J72" s="74" t="str">
        <f t="shared" si="0"/>
        <v xml:space="preserve"> CF C Construction Cost</v>
      </c>
      <c r="K72" s="75" t="str">
        <f t="shared" si="6"/>
        <v xml:space="preserve"> CF C8 Plumbing</v>
      </c>
      <c r="L72" s="76" t="str">
        <f t="shared" si="7"/>
        <v xml:space="preserve"> CF C8-6 Sanitary Material &amp; C P Fitting</v>
      </c>
      <c r="M72" s="70" t="str">
        <f t="shared" si="3"/>
        <v xml:space="preserve"> PL C Construction Cost</v>
      </c>
      <c r="N72" s="71" t="str">
        <f t="shared" si="15"/>
        <v xml:space="preserve"> PL C8 Plumbing</v>
      </c>
      <c r="O72" s="78" t="str">
        <f t="shared" si="16"/>
        <v xml:space="preserve"> PL C8-6 Sanitary Material &amp; C P Fitting</v>
      </c>
    </row>
    <row r="73" spans="1:15">
      <c r="A73" s="49" t="s">
        <v>885</v>
      </c>
      <c r="B73" s="49" t="s">
        <v>885</v>
      </c>
      <c r="C73" s="66" t="s">
        <v>827</v>
      </c>
      <c r="D73" s="66" t="s">
        <v>740</v>
      </c>
      <c r="E73" s="66">
        <v>9</v>
      </c>
      <c r="F73" s="66" t="s">
        <v>201</v>
      </c>
      <c r="G73" s="66">
        <v>1</v>
      </c>
      <c r="H73" s="66" t="s">
        <v>199</v>
      </c>
      <c r="I73" s="55" t="s">
        <v>198</v>
      </c>
      <c r="J73" s="74" t="str">
        <f t="shared" si="0"/>
        <v xml:space="preserve"> CF C Construction Cost</v>
      </c>
      <c r="K73" s="75" t="str">
        <f t="shared" si="6"/>
        <v xml:space="preserve"> CF C9 Waterproofing</v>
      </c>
      <c r="L73" s="76" t="str">
        <f t="shared" si="7"/>
        <v xml:space="preserve"> CF C9-1 Chemical Waterproofing</v>
      </c>
      <c r="M73" s="70" t="str">
        <f t="shared" si="3"/>
        <v xml:space="preserve"> PL C Construction Cost</v>
      </c>
      <c r="N73" s="71" t="str">
        <f t="shared" ref="N73:N93" si="18">IF(M73=0,0,IF(ISBLANK($F73)=FALSE,CONCATENATE(,$C$2," ",$M$2," ",$C73,$E73," ",$F73),0))</f>
        <v xml:space="preserve"> PL C9 Waterproofing</v>
      </c>
      <c r="O73" s="78" t="str">
        <f t="shared" ref="O73:O93" si="19">IF(N73=0,0,IF(ISBLANK($F73)=FALSE,CONCATENATE(,$C$2," ",$M$2," ",$C73,$E73,,"-",$G73,," ",$H73),0))</f>
        <v xml:space="preserve"> PL C9-1 Chemical Waterproofing</v>
      </c>
    </row>
    <row r="74" spans="1:15">
      <c r="A74" s="49" t="s">
        <v>885</v>
      </c>
      <c r="B74" s="49" t="s">
        <v>885</v>
      </c>
      <c r="C74" s="66" t="s">
        <v>827</v>
      </c>
      <c r="D74" s="66" t="s">
        <v>740</v>
      </c>
      <c r="E74" s="66">
        <v>9</v>
      </c>
      <c r="F74" s="66" t="s">
        <v>201</v>
      </c>
      <c r="G74" s="66">
        <v>2</v>
      </c>
      <c r="H74" s="66" t="s">
        <v>195</v>
      </c>
      <c r="I74" s="55" t="s">
        <v>194</v>
      </c>
      <c r="J74" s="74" t="str">
        <f t="shared" ref="J74:J121" si="20">IF($A74="No",0,IF(ISBLANK($D74)=FALSE,CONCATENATE(,$C$2," ",$J$2," ",$C74," ",$D74),0))</f>
        <v xml:space="preserve"> CF C Construction Cost</v>
      </c>
      <c r="K74" s="75" t="str">
        <f t="shared" si="6"/>
        <v xml:space="preserve"> CF C9 Waterproofing</v>
      </c>
      <c r="L74" s="76" t="str">
        <f t="shared" si="7"/>
        <v xml:space="preserve"> CF C9-2 Waterproofing Labour</v>
      </c>
      <c r="M74" s="70" t="str">
        <f t="shared" ref="M74:M121" si="21">IF($B74="No",0,IF(ISBLANK($D74)=FALSE,CONCATENATE(,$C$2," ",$M$2," ",$C74," ",$D74),0))</f>
        <v xml:space="preserve"> PL C Construction Cost</v>
      </c>
      <c r="N74" s="71" t="str">
        <f t="shared" si="18"/>
        <v xml:space="preserve"> PL C9 Waterproofing</v>
      </c>
      <c r="O74" s="78" t="str">
        <f t="shared" si="19"/>
        <v xml:space="preserve"> PL C9-2 Waterproofing Labour</v>
      </c>
    </row>
    <row r="75" spans="1:15">
      <c r="A75" s="49" t="s">
        <v>885</v>
      </c>
      <c r="B75" s="49" t="s">
        <v>885</v>
      </c>
      <c r="C75" s="66" t="s">
        <v>827</v>
      </c>
      <c r="D75" s="66" t="s">
        <v>740</v>
      </c>
      <c r="E75" s="66">
        <v>9</v>
      </c>
      <c r="F75" s="66" t="s">
        <v>201</v>
      </c>
      <c r="G75" s="66">
        <v>3</v>
      </c>
      <c r="H75" s="66" t="s">
        <v>641</v>
      </c>
      <c r="J75" s="74" t="str">
        <f t="shared" si="20"/>
        <v xml:space="preserve"> CF C Construction Cost</v>
      </c>
      <c r="K75" s="75" t="str">
        <f t="shared" ref="K75:K121" si="22">IF($J75=0,0,IF(ISBLANK($F75)=FALSE,CONCATENATE(,$C$2," ",$J$2," ",$C75,$E75," ",$F75),0))</f>
        <v xml:space="preserve"> CF C9 Waterproofing</v>
      </c>
      <c r="L75" s="76" t="str">
        <f t="shared" ref="L75:L121" si="23">IF($K75=0,0,IF(ISBLANK($F75)=FALSE,CONCATENATE(,$C$2," ",$J$2," ",$C75,$E75,,"-",$G75,," ",$H75),0))</f>
        <v xml:space="preserve"> CF C9-3 Penetron</v>
      </c>
      <c r="M75" s="70" t="str">
        <f t="shared" si="21"/>
        <v xml:space="preserve"> PL C Construction Cost</v>
      </c>
      <c r="N75" s="71" t="str">
        <f t="shared" si="18"/>
        <v xml:space="preserve"> PL C9 Waterproofing</v>
      </c>
      <c r="O75" s="78" t="str">
        <f t="shared" si="19"/>
        <v xml:space="preserve"> PL C9-3 Penetron</v>
      </c>
    </row>
    <row r="76" spans="1:15">
      <c r="A76" s="49" t="s">
        <v>885</v>
      </c>
      <c r="B76" s="49" t="s">
        <v>885</v>
      </c>
      <c r="C76" s="66" t="s">
        <v>827</v>
      </c>
      <c r="D76" s="66" t="s">
        <v>740</v>
      </c>
      <c r="E76" s="66">
        <v>10</v>
      </c>
      <c r="F76" s="66" t="s">
        <v>193</v>
      </c>
      <c r="G76" s="66">
        <v>1</v>
      </c>
      <c r="H76" s="66" t="s">
        <v>191</v>
      </c>
      <c r="I76" s="55" t="s">
        <v>190</v>
      </c>
      <c r="J76" s="74" t="str">
        <f t="shared" si="20"/>
        <v xml:space="preserve"> CF C Construction Cost</v>
      </c>
      <c r="K76" s="75" t="str">
        <f t="shared" si="22"/>
        <v xml:space="preserve"> CF C10 Painting</v>
      </c>
      <c r="L76" s="76" t="str">
        <f t="shared" si="23"/>
        <v xml:space="preserve"> CF C10-1 Primer</v>
      </c>
      <c r="M76" s="70" t="str">
        <f t="shared" si="21"/>
        <v xml:space="preserve"> PL C Construction Cost</v>
      </c>
      <c r="N76" s="71" t="str">
        <f t="shared" si="18"/>
        <v xml:space="preserve"> PL C10 Painting</v>
      </c>
      <c r="O76" s="78" t="str">
        <f t="shared" si="19"/>
        <v xml:space="preserve"> PL C10-1 Primer</v>
      </c>
    </row>
    <row r="77" spans="1:15">
      <c r="A77" s="49" t="s">
        <v>885</v>
      </c>
      <c r="B77" s="49" t="s">
        <v>885</v>
      </c>
      <c r="C77" s="66" t="s">
        <v>827</v>
      </c>
      <c r="D77" s="66" t="s">
        <v>740</v>
      </c>
      <c r="E77" s="66">
        <v>10</v>
      </c>
      <c r="F77" s="66" t="s">
        <v>193</v>
      </c>
      <c r="G77" s="66">
        <v>2</v>
      </c>
      <c r="H77" s="66" t="s">
        <v>188</v>
      </c>
      <c r="I77" s="55" t="s">
        <v>187</v>
      </c>
      <c r="J77" s="74" t="str">
        <f t="shared" si="20"/>
        <v xml:space="preserve"> CF C Construction Cost</v>
      </c>
      <c r="K77" s="75" t="str">
        <f t="shared" si="22"/>
        <v xml:space="preserve"> CF C10 Painting</v>
      </c>
      <c r="L77" s="76" t="str">
        <f t="shared" si="23"/>
        <v xml:space="preserve"> CF C10-2 Paint</v>
      </c>
      <c r="M77" s="70" t="str">
        <f t="shared" si="21"/>
        <v xml:space="preserve"> PL C Construction Cost</v>
      </c>
      <c r="N77" s="71" t="str">
        <f t="shared" si="18"/>
        <v xml:space="preserve"> PL C10 Painting</v>
      </c>
      <c r="O77" s="78" t="str">
        <f t="shared" si="19"/>
        <v xml:space="preserve"> PL C10-2 Paint</v>
      </c>
    </row>
    <row r="78" spans="1:15">
      <c r="A78" s="49" t="s">
        <v>885</v>
      </c>
      <c r="B78" s="49" t="s">
        <v>885</v>
      </c>
      <c r="C78" s="66" t="s">
        <v>827</v>
      </c>
      <c r="D78" s="66" t="s">
        <v>740</v>
      </c>
      <c r="E78" s="66">
        <v>10</v>
      </c>
      <c r="F78" s="66" t="s">
        <v>193</v>
      </c>
      <c r="G78" s="66">
        <v>3</v>
      </c>
      <c r="H78" s="66" t="s">
        <v>184</v>
      </c>
      <c r="I78" s="55" t="s">
        <v>183</v>
      </c>
      <c r="J78" s="74" t="str">
        <f t="shared" si="20"/>
        <v xml:space="preserve"> CF C Construction Cost</v>
      </c>
      <c r="K78" s="75" t="str">
        <f t="shared" si="22"/>
        <v xml:space="preserve"> CF C10 Painting</v>
      </c>
      <c r="L78" s="76" t="str">
        <f t="shared" si="23"/>
        <v xml:space="preserve"> CF C10-3 Painting Labour</v>
      </c>
      <c r="M78" s="70" t="str">
        <f t="shared" si="21"/>
        <v xml:space="preserve"> PL C Construction Cost</v>
      </c>
      <c r="N78" s="71" t="str">
        <f t="shared" si="18"/>
        <v xml:space="preserve"> PL C10 Painting</v>
      </c>
      <c r="O78" s="78" t="str">
        <f t="shared" si="19"/>
        <v xml:space="preserve"> PL C10-3 Painting Labour</v>
      </c>
    </row>
    <row r="79" spans="1:15">
      <c r="A79" s="49" t="s">
        <v>885</v>
      </c>
      <c r="B79" s="49" t="s">
        <v>885</v>
      </c>
      <c r="C79" s="66" t="s">
        <v>827</v>
      </c>
      <c r="D79" s="66" t="s">
        <v>740</v>
      </c>
      <c r="E79" s="66">
        <v>10</v>
      </c>
      <c r="F79" s="66" t="s">
        <v>193</v>
      </c>
      <c r="G79" s="66">
        <v>4</v>
      </c>
      <c r="H79" s="66" t="s">
        <v>636</v>
      </c>
      <c r="I79" s="55" t="s">
        <v>635</v>
      </c>
      <c r="J79" s="74" t="str">
        <f t="shared" si="20"/>
        <v xml:space="preserve"> CF C Construction Cost</v>
      </c>
      <c r="K79" s="75" t="str">
        <f t="shared" si="22"/>
        <v xml:space="preserve"> CF C10 Painting</v>
      </c>
      <c r="L79" s="76" t="str">
        <f t="shared" si="23"/>
        <v xml:space="preserve"> CF C10-4 Other Misc. Painting Material</v>
      </c>
      <c r="M79" s="70" t="str">
        <f t="shared" si="21"/>
        <v xml:space="preserve"> PL C Construction Cost</v>
      </c>
      <c r="N79" s="71" t="str">
        <f t="shared" si="18"/>
        <v xml:space="preserve"> PL C10 Painting</v>
      </c>
      <c r="O79" s="78" t="str">
        <f t="shared" si="19"/>
        <v xml:space="preserve"> PL C10-4 Other Misc. Painting Material</v>
      </c>
    </row>
    <row r="80" spans="1:15">
      <c r="A80" s="49" t="s">
        <v>885</v>
      </c>
      <c r="B80" s="49" t="s">
        <v>885</v>
      </c>
      <c r="C80" s="66" t="s">
        <v>827</v>
      </c>
      <c r="D80" s="66" t="s">
        <v>740</v>
      </c>
      <c r="E80" s="66">
        <v>10</v>
      </c>
      <c r="F80" s="66" t="s">
        <v>193</v>
      </c>
      <c r="G80" s="66">
        <v>5</v>
      </c>
      <c r="H80" s="66" t="s">
        <v>389</v>
      </c>
      <c r="J80" s="74" t="str">
        <f t="shared" si="20"/>
        <v xml:space="preserve"> CF C Construction Cost</v>
      </c>
      <c r="K80" s="75" t="str">
        <f t="shared" si="22"/>
        <v xml:space="preserve"> CF C10 Painting</v>
      </c>
      <c r="L80" s="76" t="str">
        <f t="shared" si="23"/>
        <v xml:space="preserve"> CF C10-5 Landscaping/ Painting Work</v>
      </c>
      <c r="M80" s="70" t="str">
        <f t="shared" si="21"/>
        <v xml:space="preserve"> PL C Construction Cost</v>
      </c>
      <c r="N80" s="71" t="str">
        <f t="shared" si="18"/>
        <v xml:space="preserve"> PL C10 Painting</v>
      </c>
      <c r="O80" s="78" t="str">
        <f t="shared" si="19"/>
        <v xml:space="preserve"> PL C10-5 Landscaping/ Painting Work</v>
      </c>
    </row>
    <row r="81" spans="1:15">
      <c r="A81" s="49" t="s">
        <v>885</v>
      </c>
      <c r="B81" s="49" t="s">
        <v>885</v>
      </c>
      <c r="C81" s="66" t="s">
        <v>827</v>
      </c>
      <c r="D81" s="66" t="s">
        <v>740</v>
      </c>
      <c r="E81" s="66">
        <v>11</v>
      </c>
      <c r="F81" s="66" t="s">
        <v>632</v>
      </c>
      <c r="G81" s="66">
        <v>1</v>
      </c>
      <c r="H81" s="66" t="s">
        <v>630</v>
      </c>
      <c r="J81" s="74" t="str">
        <f t="shared" si="20"/>
        <v xml:space="preserve"> CF C Construction Cost</v>
      </c>
      <c r="K81" s="75" t="str">
        <f t="shared" si="22"/>
        <v xml:space="preserve"> CF C11 Transportation</v>
      </c>
      <c r="L81" s="76" t="str">
        <f t="shared" si="23"/>
        <v xml:space="preserve"> CF C11-1 Material Transportation</v>
      </c>
      <c r="M81" s="70" t="str">
        <f t="shared" si="21"/>
        <v xml:space="preserve"> PL C Construction Cost</v>
      </c>
      <c r="N81" s="71" t="str">
        <f t="shared" si="18"/>
        <v xml:space="preserve"> PL C11 Transportation</v>
      </c>
      <c r="O81" s="78" t="str">
        <f t="shared" si="19"/>
        <v xml:space="preserve"> PL C11-1 Material Transportation</v>
      </c>
    </row>
    <row r="82" spans="1:15">
      <c r="A82" s="49" t="s">
        <v>885</v>
      </c>
      <c r="B82" s="49" t="s">
        <v>885</v>
      </c>
      <c r="C82" s="66" t="s">
        <v>827</v>
      </c>
      <c r="D82" s="66" t="s">
        <v>740</v>
      </c>
      <c r="E82" s="66">
        <v>11</v>
      </c>
      <c r="F82" s="66" t="s">
        <v>632</v>
      </c>
      <c r="G82" s="66">
        <v>2</v>
      </c>
      <c r="H82" s="66" t="s">
        <v>628</v>
      </c>
      <c r="J82" s="74" t="str">
        <f t="shared" si="20"/>
        <v xml:space="preserve"> CF C Construction Cost</v>
      </c>
      <c r="K82" s="75" t="str">
        <f t="shared" si="22"/>
        <v xml:space="preserve"> CF C11 Transportation</v>
      </c>
      <c r="L82" s="76" t="str">
        <f t="shared" si="23"/>
        <v xml:space="preserve"> CF C11-2 JCB</v>
      </c>
      <c r="M82" s="70" t="str">
        <f t="shared" si="21"/>
        <v xml:space="preserve"> PL C Construction Cost</v>
      </c>
      <c r="N82" s="71" t="str">
        <f t="shared" si="18"/>
        <v xml:space="preserve"> PL C11 Transportation</v>
      </c>
      <c r="O82" s="78" t="str">
        <f t="shared" si="19"/>
        <v xml:space="preserve"> PL C11-2 JCB</v>
      </c>
    </row>
    <row r="83" spans="1:15">
      <c r="A83" s="49" t="s">
        <v>885</v>
      </c>
      <c r="B83" s="49" t="s">
        <v>885</v>
      </c>
      <c r="C83" s="66" t="s">
        <v>827</v>
      </c>
      <c r="D83" s="66" t="s">
        <v>740</v>
      </c>
      <c r="E83" s="66">
        <v>11</v>
      </c>
      <c r="F83" s="66" t="s">
        <v>632</v>
      </c>
      <c r="G83" s="66">
        <v>3</v>
      </c>
      <c r="H83" s="66" t="s">
        <v>626</v>
      </c>
      <c r="J83" s="74" t="str">
        <f t="shared" si="20"/>
        <v xml:space="preserve"> CF C Construction Cost</v>
      </c>
      <c r="K83" s="75" t="str">
        <f t="shared" si="22"/>
        <v xml:space="preserve"> CF C11 Transportation</v>
      </c>
      <c r="L83" s="76" t="str">
        <f t="shared" si="23"/>
        <v xml:space="preserve"> CF C11-3 Crane services</v>
      </c>
      <c r="M83" s="70" t="str">
        <f t="shared" si="21"/>
        <v xml:space="preserve"> PL C Construction Cost</v>
      </c>
      <c r="N83" s="71" t="str">
        <f t="shared" si="18"/>
        <v xml:space="preserve"> PL C11 Transportation</v>
      </c>
      <c r="O83" s="78" t="str">
        <f t="shared" si="19"/>
        <v xml:space="preserve"> PL C11-3 Crane services</v>
      </c>
    </row>
    <row r="84" spans="1:15">
      <c r="A84" s="49" t="s">
        <v>885</v>
      </c>
      <c r="B84" s="49" t="s">
        <v>885</v>
      </c>
      <c r="C84" s="66" t="s">
        <v>827</v>
      </c>
      <c r="D84" s="66" t="s">
        <v>740</v>
      </c>
      <c r="E84" s="66">
        <v>11</v>
      </c>
      <c r="F84" s="66" t="s">
        <v>632</v>
      </c>
      <c r="G84" s="66">
        <v>4</v>
      </c>
      <c r="H84" s="66" t="s">
        <v>623</v>
      </c>
      <c r="J84" s="74" t="str">
        <f t="shared" si="20"/>
        <v xml:space="preserve"> CF C Construction Cost</v>
      </c>
      <c r="K84" s="75" t="str">
        <f t="shared" si="22"/>
        <v xml:space="preserve"> CF C11 Transportation</v>
      </c>
      <c r="L84" s="76" t="str">
        <f t="shared" si="23"/>
        <v xml:space="preserve"> CF C11-4 Loading/ Unloading Chg</v>
      </c>
      <c r="M84" s="70" t="str">
        <f t="shared" si="21"/>
        <v xml:space="preserve"> PL C Construction Cost</v>
      </c>
      <c r="N84" s="71" t="str">
        <f t="shared" si="18"/>
        <v xml:space="preserve"> PL C11 Transportation</v>
      </c>
      <c r="O84" s="78" t="str">
        <f t="shared" si="19"/>
        <v xml:space="preserve"> PL C11-4 Loading/ Unloading Chg</v>
      </c>
    </row>
    <row r="85" spans="1:15">
      <c r="A85" s="49" t="s">
        <v>885</v>
      </c>
      <c r="B85" s="49" t="s">
        <v>885</v>
      </c>
      <c r="C85" s="66" t="s">
        <v>827</v>
      </c>
      <c r="D85" s="66" t="s">
        <v>740</v>
      </c>
      <c r="E85" s="66">
        <v>12</v>
      </c>
      <c r="F85" s="66" t="s">
        <v>181</v>
      </c>
      <c r="G85" s="66">
        <v>1</v>
      </c>
      <c r="H85" s="66" t="s">
        <v>621</v>
      </c>
      <c r="I85" s="55" t="s">
        <v>180</v>
      </c>
      <c r="J85" s="74" t="str">
        <f t="shared" si="20"/>
        <v xml:space="preserve"> CF C Construction Cost</v>
      </c>
      <c r="K85" s="75" t="str">
        <f t="shared" si="22"/>
        <v xml:space="preserve"> CF C12 Furniture/Equipments</v>
      </c>
      <c r="L85" s="76" t="str">
        <f t="shared" si="23"/>
        <v xml:space="preserve"> CF C12-1 Lift</v>
      </c>
      <c r="M85" s="70" t="str">
        <f t="shared" si="21"/>
        <v xml:space="preserve"> PL C Construction Cost</v>
      </c>
      <c r="N85" s="71" t="str">
        <f t="shared" si="18"/>
        <v xml:space="preserve"> PL C12 Furniture/Equipments</v>
      </c>
      <c r="O85" s="78" t="str">
        <f t="shared" si="19"/>
        <v xml:space="preserve"> PL C12-1 Lift</v>
      </c>
    </row>
    <row r="86" spans="1:15">
      <c r="A86" s="49" t="s">
        <v>885</v>
      </c>
      <c r="B86" s="49" t="s">
        <v>885</v>
      </c>
      <c r="C86" s="66" t="s">
        <v>827</v>
      </c>
      <c r="D86" s="66" t="s">
        <v>740</v>
      </c>
      <c r="E86" s="66">
        <v>12</v>
      </c>
      <c r="F86" s="66" t="s">
        <v>181</v>
      </c>
      <c r="G86" s="66">
        <v>2</v>
      </c>
      <c r="H86" s="66" t="s">
        <v>619</v>
      </c>
      <c r="I86" s="55" t="s">
        <v>180</v>
      </c>
      <c r="J86" s="74" t="str">
        <f t="shared" si="20"/>
        <v xml:space="preserve"> CF C Construction Cost</v>
      </c>
      <c r="K86" s="75" t="str">
        <f t="shared" si="22"/>
        <v xml:space="preserve"> CF C12 Furniture/Equipments</v>
      </c>
      <c r="L86" s="76" t="str">
        <f t="shared" si="23"/>
        <v xml:space="preserve"> CF C12-2 Borewell</v>
      </c>
      <c r="M86" s="70" t="str">
        <f t="shared" si="21"/>
        <v xml:space="preserve"> PL C Construction Cost</v>
      </c>
      <c r="N86" s="71" t="str">
        <f t="shared" si="18"/>
        <v xml:space="preserve"> PL C12 Furniture/Equipments</v>
      </c>
      <c r="O86" s="78" t="str">
        <f t="shared" si="19"/>
        <v xml:space="preserve"> PL C12-2 Borewell</v>
      </c>
    </row>
    <row r="87" spans="1:15">
      <c r="A87" s="49" t="s">
        <v>885</v>
      </c>
      <c r="B87" s="49" t="s">
        <v>885</v>
      </c>
      <c r="C87" s="66" t="s">
        <v>827</v>
      </c>
      <c r="D87" s="66" t="s">
        <v>740</v>
      </c>
      <c r="E87" s="66">
        <v>12</v>
      </c>
      <c r="F87" s="66" t="s">
        <v>181</v>
      </c>
      <c r="G87" s="66">
        <v>3</v>
      </c>
      <c r="H87" s="66" t="s">
        <v>616</v>
      </c>
      <c r="I87" s="55" t="s">
        <v>180</v>
      </c>
      <c r="J87" s="74" t="str">
        <f t="shared" si="20"/>
        <v xml:space="preserve"> CF C Construction Cost</v>
      </c>
      <c r="K87" s="75" t="str">
        <f t="shared" si="22"/>
        <v xml:space="preserve"> CF C12 Furniture/Equipments</v>
      </c>
      <c r="L87" s="76" t="str">
        <f t="shared" si="23"/>
        <v xml:space="preserve"> CF C12-3 Heat Pump</v>
      </c>
      <c r="M87" s="70" t="str">
        <f t="shared" si="21"/>
        <v xml:space="preserve"> PL C Construction Cost</v>
      </c>
      <c r="N87" s="71" t="str">
        <f t="shared" si="18"/>
        <v xml:space="preserve"> PL C12 Furniture/Equipments</v>
      </c>
      <c r="O87" s="78" t="str">
        <f t="shared" si="19"/>
        <v xml:space="preserve"> PL C12-3 Heat Pump</v>
      </c>
    </row>
    <row r="88" spans="1:15">
      <c r="A88" s="49" t="s">
        <v>885</v>
      </c>
      <c r="B88" s="49" t="s">
        <v>885</v>
      </c>
      <c r="C88" s="66" t="s">
        <v>827</v>
      </c>
      <c r="D88" s="66" t="s">
        <v>740</v>
      </c>
      <c r="E88" s="66">
        <v>13</v>
      </c>
      <c r="F88" s="66" t="s">
        <v>614</v>
      </c>
      <c r="G88" s="66">
        <v>1</v>
      </c>
      <c r="H88" s="66" t="s">
        <v>612</v>
      </c>
      <c r="J88" s="74" t="str">
        <f t="shared" si="20"/>
        <v xml:space="preserve"> CF C Construction Cost</v>
      </c>
      <c r="K88" s="75" t="str">
        <f t="shared" si="22"/>
        <v xml:space="preserve"> CF C13 Water connection</v>
      </c>
      <c r="L88" s="76" t="str">
        <f t="shared" si="23"/>
        <v xml:space="preserve"> CF C13-1 Water connection chg </v>
      </c>
      <c r="M88" s="70" t="str">
        <f t="shared" si="21"/>
        <v xml:space="preserve"> PL C Construction Cost</v>
      </c>
      <c r="N88" s="71" t="str">
        <f t="shared" si="18"/>
        <v xml:space="preserve"> PL C13 Water connection</v>
      </c>
      <c r="O88" s="78" t="str">
        <f t="shared" si="19"/>
        <v xml:space="preserve"> PL C13-1 Water connection chg </v>
      </c>
    </row>
    <row r="89" spans="1:15">
      <c r="A89" s="49" t="s">
        <v>885</v>
      </c>
      <c r="B89" s="49" t="s">
        <v>885</v>
      </c>
      <c r="C89" s="66" t="s">
        <v>827</v>
      </c>
      <c r="D89" s="66" t="s">
        <v>740</v>
      </c>
      <c r="E89" s="66">
        <v>14</v>
      </c>
      <c r="F89" s="66" t="s">
        <v>177</v>
      </c>
      <c r="G89" s="66">
        <v>1</v>
      </c>
      <c r="H89" s="66" t="s">
        <v>609</v>
      </c>
      <c r="J89" s="74" t="str">
        <f t="shared" si="20"/>
        <v xml:space="preserve"> CF C Construction Cost</v>
      </c>
      <c r="K89" s="75" t="str">
        <f t="shared" si="22"/>
        <v xml:space="preserve"> CF C14 POP</v>
      </c>
      <c r="L89" s="76" t="str">
        <f t="shared" si="23"/>
        <v xml:space="preserve"> CF C14-1 POP </v>
      </c>
      <c r="M89" s="70" t="str">
        <f t="shared" si="21"/>
        <v xml:space="preserve"> PL C Construction Cost</v>
      </c>
      <c r="N89" s="71" t="str">
        <f t="shared" si="18"/>
        <v xml:space="preserve"> PL C14 POP</v>
      </c>
      <c r="O89" s="78" t="str">
        <f t="shared" si="19"/>
        <v xml:space="preserve"> PL C14-1 POP </v>
      </c>
    </row>
    <row r="90" spans="1:15">
      <c r="A90" s="49" t="s">
        <v>885</v>
      </c>
      <c r="B90" s="49" t="s">
        <v>885</v>
      </c>
      <c r="C90" s="66" t="s">
        <v>827</v>
      </c>
      <c r="D90" s="66" t="s">
        <v>740</v>
      </c>
      <c r="E90" s="66">
        <v>15</v>
      </c>
      <c r="F90" s="66" t="s">
        <v>943</v>
      </c>
      <c r="G90" s="66">
        <v>1</v>
      </c>
      <c r="H90" s="66" t="s">
        <v>944</v>
      </c>
      <c r="J90" s="74" t="str">
        <f t="shared" si="20"/>
        <v xml:space="preserve"> CF C Construction Cost</v>
      </c>
      <c r="K90" s="75" t="str">
        <f t="shared" si="22"/>
        <v xml:space="preserve"> CF C15 Exclavation</v>
      </c>
      <c r="L90" s="76" t="str">
        <f t="shared" si="23"/>
        <v xml:space="preserve"> CF C15-1 Exclavation Work</v>
      </c>
      <c r="M90" s="70" t="str">
        <f t="shared" si="21"/>
        <v xml:space="preserve"> PL C Construction Cost</v>
      </c>
      <c r="N90" s="71" t="str">
        <f t="shared" ref="N90" si="24">IF(M90=0,0,IF(ISBLANK($F90)=FALSE,CONCATENATE(,$C$2," ",$M$2," ",$C90,$E90," ",$F90),0))</f>
        <v xml:space="preserve"> PL C15 Exclavation</v>
      </c>
      <c r="O90" s="78" t="str">
        <f t="shared" ref="O90" si="25">IF(N90=0,0,IF(ISBLANK($F90)=FALSE,CONCATENATE(,$C$2," ",$M$2," ",$C90,$E90,,"-",$G90,," ",$H90),0))</f>
        <v xml:space="preserve"> PL C15-1 Exclavation Work</v>
      </c>
    </row>
    <row r="91" spans="1:15">
      <c r="A91" s="49" t="s">
        <v>885</v>
      </c>
      <c r="B91" s="49" t="s">
        <v>885</v>
      </c>
      <c r="C91" s="66" t="s">
        <v>827</v>
      </c>
      <c r="D91" s="66" t="s">
        <v>740</v>
      </c>
      <c r="E91" s="66">
        <v>16</v>
      </c>
      <c r="F91" s="66" t="s">
        <v>963</v>
      </c>
      <c r="G91" s="66">
        <v>1</v>
      </c>
      <c r="H91" s="66" t="s">
        <v>962</v>
      </c>
      <c r="J91" s="74" t="str">
        <f t="shared" si="20"/>
        <v xml:space="preserve"> CF C Construction Cost</v>
      </c>
      <c r="K91" s="75" t="str">
        <f t="shared" si="22"/>
        <v xml:space="preserve"> CF C16 Finishing</v>
      </c>
      <c r="L91" s="76" t="str">
        <f t="shared" si="23"/>
        <v xml:space="preserve"> CF C16-1 Louvers Work</v>
      </c>
      <c r="M91" s="70" t="str">
        <f>IF($B91="No",0,IF(ISBLANK($D91)=FALSE,CONCATENATE(,$C$2," ",$M$2," ",$C91," ",$D91),0))</f>
        <v xml:space="preserve"> PL C Construction Cost</v>
      </c>
      <c r="N91" s="71" t="str">
        <f t="shared" ref="N91" si="26">IF(M91=0,0,IF(ISBLANK($F91)=FALSE,CONCATENATE(,$C$2," ",$M$2," ",$C91,$E91," ",$F91),0))</f>
        <v xml:space="preserve"> PL C16 Finishing</v>
      </c>
      <c r="O91" s="78" t="str">
        <f t="shared" ref="O91" si="27">IF(N91=0,0,IF(ISBLANK($F91)=FALSE,CONCATENATE(,$C$2," ",$M$2," ",$C91,$E91,,"-",$G91,," ",$H91),0))</f>
        <v xml:space="preserve"> PL C16-1 Louvers Work</v>
      </c>
    </row>
    <row r="92" spans="1:15">
      <c r="A92" s="49" t="s">
        <v>885</v>
      </c>
      <c r="B92" s="49" t="s">
        <v>885</v>
      </c>
      <c r="C92" s="66" t="s">
        <v>814</v>
      </c>
      <c r="D92" s="66" t="s">
        <v>766</v>
      </c>
      <c r="E92" s="66">
        <v>1</v>
      </c>
      <c r="F92" s="66" t="s">
        <v>764</v>
      </c>
      <c r="G92" s="66">
        <v>1</v>
      </c>
      <c r="H92" s="66" t="s">
        <v>762</v>
      </c>
      <c r="I92" s="55" t="s">
        <v>761</v>
      </c>
      <c r="J92" s="74" t="str">
        <f t="shared" si="20"/>
        <v xml:space="preserve"> CF D Project Acquisition (Land &amp; Reg Exp)</v>
      </c>
      <c r="K92" s="75" t="str">
        <f t="shared" si="22"/>
        <v xml:space="preserve"> CF D1 Land Acquisition</v>
      </c>
      <c r="L92" s="76" t="str">
        <f t="shared" si="23"/>
        <v xml:space="preserve"> CF D1-1 Acquisition Deposit</v>
      </c>
      <c r="M92" s="70" t="str">
        <f t="shared" si="21"/>
        <v xml:space="preserve"> PL D Project Acquisition (Land &amp; Reg Exp)</v>
      </c>
      <c r="N92" s="71" t="str">
        <f t="shared" si="18"/>
        <v xml:space="preserve"> PL D1 Land Acquisition</v>
      </c>
      <c r="O92" s="78" t="str">
        <f t="shared" si="19"/>
        <v xml:space="preserve"> PL D1-1 Acquisition Deposit</v>
      </c>
    </row>
    <row r="93" spans="1:15">
      <c r="A93" s="49" t="s">
        <v>885</v>
      </c>
      <c r="B93" s="49" t="s">
        <v>885</v>
      </c>
      <c r="C93" s="66" t="s">
        <v>814</v>
      </c>
      <c r="D93" s="66" t="s">
        <v>766</v>
      </c>
      <c r="E93" s="66">
        <v>2</v>
      </c>
      <c r="F93" s="66" t="s">
        <v>759</v>
      </c>
      <c r="G93" s="66">
        <v>1</v>
      </c>
      <c r="H93" s="66" t="s">
        <v>757</v>
      </c>
      <c r="I93" s="55" t="s">
        <v>756</v>
      </c>
      <c r="J93" s="74" t="str">
        <f t="shared" si="20"/>
        <v xml:space="preserve"> CF D Project Acquisition (Land &amp; Reg Exp)</v>
      </c>
      <c r="K93" s="75" t="str">
        <f t="shared" si="22"/>
        <v xml:space="preserve"> CF D2 Brokerage</v>
      </c>
      <c r="L93" s="76" t="str">
        <f t="shared" si="23"/>
        <v xml:space="preserve"> CF D2-1 Land Broker Fee</v>
      </c>
      <c r="M93" s="70" t="str">
        <f t="shared" si="21"/>
        <v xml:space="preserve"> PL D Project Acquisition (Land &amp; Reg Exp)</v>
      </c>
      <c r="N93" s="71" t="str">
        <f t="shared" si="18"/>
        <v xml:space="preserve"> PL D2 Brokerage</v>
      </c>
      <c r="O93" s="78" t="str">
        <f t="shared" si="19"/>
        <v xml:space="preserve"> PL D2-1 Land Broker Fee</v>
      </c>
    </row>
    <row r="94" spans="1:15">
      <c r="A94" s="49" t="s">
        <v>885</v>
      </c>
      <c r="B94" s="49" t="s">
        <v>885</v>
      </c>
      <c r="C94" s="66" t="s">
        <v>814</v>
      </c>
      <c r="D94" s="66" t="s">
        <v>766</v>
      </c>
      <c r="E94" s="66">
        <v>3</v>
      </c>
      <c r="F94" s="66" t="s">
        <v>753</v>
      </c>
      <c r="G94" s="66">
        <v>1</v>
      </c>
      <c r="H94" s="66" t="s">
        <v>753</v>
      </c>
      <c r="I94" s="55" t="s">
        <v>752</v>
      </c>
      <c r="J94" s="74" t="str">
        <f t="shared" si="20"/>
        <v xml:space="preserve"> CF D Project Acquisition (Land &amp; Reg Exp)</v>
      </c>
      <c r="K94" s="75" t="str">
        <f t="shared" si="22"/>
        <v xml:space="preserve"> CF D3 Stamp Duty</v>
      </c>
      <c r="L94" s="76" t="str">
        <f t="shared" si="23"/>
        <v xml:space="preserve"> CF D3-1 Stamp Duty</v>
      </c>
      <c r="M94" s="70" t="str">
        <f t="shared" si="21"/>
        <v xml:space="preserve"> PL D Project Acquisition (Land &amp; Reg Exp)</v>
      </c>
      <c r="N94" s="71" t="str">
        <f t="shared" ref="N94" si="28">IF(M94=0,0,IF(ISBLANK($F94)=FALSE,CONCATENATE(,$C$2," ",$M$2," ",$C94,$E94," ",$F94),0))</f>
        <v xml:space="preserve"> PL D3 Stamp Duty</v>
      </c>
      <c r="O94" s="78" t="str">
        <f t="shared" ref="O94" si="29">IF(N94=0,0,IF(ISBLANK($F94)=FALSE,CONCATENATE(,$C$2," ",$M$2," ",$C94,$E94,,"-",$G94,," ",$H94),0))</f>
        <v xml:space="preserve"> PL D3-1 Stamp Duty</v>
      </c>
    </row>
    <row r="95" spans="1:15">
      <c r="A95" s="49" t="s">
        <v>885</v>
      </c>
      <c r="B95" s="49" t="s">
        <v>885</v>
      </c>
      <c r="C95" s="66" t="s">
        <v>814</v>
      </c>
      <c r="D95" s="66" t="s">
        <v>766</v>
      </c>
      <c r="E95" s="66">
        <v>4</v>
      </c>
      <c r="F95" s="66" t="s">
        <v>750</v>
      </c>
      <c r="G95" s="66">
        <v>1</v>
      </c>
      <c r="H95" s="66" t="s">
        <v>748</v>
      </c>
      <c r="I95" s="55" t="s">
        <v>747</v>
      </c>
      <c r="J95" s="74" t="str">
        <f t="shared" si="20"/>
        <v xml:space="preserve"> CF D Project Acquisition (Land &amp; Reg Exp)</v>
      </c>
      <c r="K95" s="75" t="str">
        <f t="shared" si="22"/>
        <v xml:space="preserve"> CF D4 Registration</v>
      </c>
      <c r="L95" s="76" t="str">
        <f t="shared" si="23"/>
        <v xml:space="preserve"> CF D4-1 Registration Fees</v>
      </c>
      <c r="M95" s="70" t="str">
        <f t="shared" si="21"/>
        <v xml:space="preserve"> PL D Project Acquisition (Land &amp; Reg Exp)</v>
      </c>
      <c r="N95" s="71" t="str">
        <f t="shared" ref="N95:N97" si="30">IF(M95=0,0,IF(ISBLANK($F95)=FALSE,CONCATENATE(,$C$2," ",$M$2," ",$C95,$E95," ",$F95),0))</f>
        <v xml:space="preserve"> PL D4 Registration</v>
      </c>
      <c r="O95" s="78" t="str">
        <f t="shared" ref="O95:O97" si="31">IF(N95=0,0,IF(ISBLANK($F95)=FALSE,CONCATENATE(,$C$2," ",$M$2," ",$C95,$E95,,"-",$G95,," ",$H95),0))</f>
        <v xml:space="preserve"> PL D4-1 Registration Fees</v>
      </c>
    </row>
    <row r="96" spans="1:15">
      <c r="A96" s="49" t="s">
        <v>885</v>
      </c>
      <c r="B96" s="49" t="s">
        <v>885</v>
      </c>
      <c r="C96" s="66" t="s">
        <v>814</v>
      </c>
      <c r="D96" s="66" t="s">
        <v>766</v>
      </c>
      <c r="E96" s="66">
        <v>5</v>
      </c>
      <c r="F96" s="66" t="s">
        <v>745</v>
      </c>
      <c r="G96" s="66">
        <v>1</v>
      </c>
      <c r="H96" s="66" t="s">
        <v>743</v>
      </c>
      <c r="I96" s="55" t="s">
        <v>742</v>
      </c>
      <c r="J96" s="74" t="str">
        <f t="shared" si="20"/>
        <v xml:space="preserve"> CF D Project Acquisition (Land &amp; Reg Exp)</v>
      </c>
      <c r="K96" s="75" t="str">
        <f t="shared" si="22"/>
        <v xml:space="preserve"> CF D5 Legal</v>
      </c>
      <c r="L96" s="76" t="str">
        <f t="shared" si="23"/>
        <v xml:space="preserve"> CF D5-1 Legal Due Diligence</v>
      </c>
      <c r="M96" s="70" t="str">
        <f t="shared" si="21"/>
        <v xml:space="preserve"> PL D Project Acquisition (Land &amp; Reg Exp)</v>
      </c>
      <c r="N96" s="71" t="str">
        <f t="shared" si="30"/>
        <v xml:space="preserve"> PL D5 Legal</v>
      </c>
      <c r="O96" s="78" t="str">
        <f t="shared" si="31"/>
        <v xml:space="preserve"> PL D5-1 Legal Due Diligence</v>
      </c>
    </row>
    <row r="97" spans="1:16">
      <c r="A97" s="49" t="s">
        <v>885</v>
      </c>
      <c r="B97" s="49" t="s">
        <v>885</v>
      </c>
      <c r="C97" s="66" t="s">
        <v>791</v>
      </c>
      <c r="D97" s="66" t="s">
        <v>174</v>
      </c>
      <c r="E97" s="66">
        <v>1</v>
      </c>
      <c r="F97" s="66" t="s">
        <v>172</v>
      </c>
      <c r="G97" s="66">
        <v>1</v>
      </c>
      <c r="H97" s="66" t="s">
        <v>170</v>
      </c>
      <c r="J97" s="74" t="str">
        <f t="shared" si="20"/>
        <v xml:space="preserve"> CF F Regulatory &amp; Consulting</v>
      </c>
      <c r="K97" s="75" t="str">
        <f t="shared" si="22"/>
        <v xml:space="preserve"> CF F1 Consultants</v>
      </c>
      <c r="L97" s="76" t="str">
        <f t="shared" si="23"/>
        <v xml:space="preserve"> CF F1-1 Architect</v>
      </c>
      <c r="M97" s="70" t="str">
        <f t="shared" si="21"/>
        <v xml:space="preserve"> PL F Regulatory &amp; Consulting</v>
      </c>
      <c r="N97" s="71" t="str">
        <f t="shared" si="30"/>
        <v xml:space="preserve"> PL F1 Consultants</v>
      </c>
      <c r="O97" s="78" t="str">
        <f t="shared" si="31"/>
        <v xml:space="preserve"> PL F1-1 Architect</v>
      </c>
    </row>
    <row r="98" spans="1:16">
      <c r="A98" s="49" t="s">
        <v>885</v>
      </c>
      <c r="B98" s="49" t="s">
        <v>885</v>
      </c>
      <c r="C98" s="66" t="s">
        <v>791</v>
      </c>
      <c r="D98" s="66" t="s">
        <v>174</v>
      </c>
      <c r="E98" s="66">
        <v>1</v>
      </c>
      <c r="F98" s="66" t="s">
        <v>172</v>
      </c>
      <c r="G98" s="66">
        <f>+G97+1</f>
        <v>2</v>
      </c>
      <c r="H98" s="66" t="s">
        <v>168</v>
      </c>
      <c r="J98" s="74" t="str">
        <f t="shared" si="20"/>
        <v xml:space="preserve"> CF F Regulatory &amp; Consulting</v>
      </c>
      <c r="K98" s="75" t="str">
        <f t="shared" si="22"/>
        <v xml:space="preserve"> CF F1 Consultants</v>
      </c>
      <c r="L98" s="76" t="str">
        <f t="shared" si="23"/>
        <v xml:space="preserve"> CF F1-2 MEP Consultant</v>
      </c>
      <c r="M98" s="70" t="str">
        <f t="shared" si="21"/>
        <v xml:space="preserve"> PL F Regulatory &amp; Consulting</v>
      </c>
      <c r="N98" s="71" t="str">
        <f t="shared" ref="N98:N121" si="32">IF(M98=0,0,IF(ISBLANK($F98)=FALSE,CONCATENATE(,$C$2," ",$M$2," ",$C98,$E98," ",$F98),0))</f>
        <v xml:space="preserve"> PL F1 Consultants</v>
      </c>
      <c r="O98" s="78" t="str">
        <f t="shared" ref="O98:O121" si="33">IF(N98=0,0,IF(ISBLANK($F98)=FALSE,CONCATENATE(,$C$2," ",$M$2," ",$C98,$E98,,"-",$G98,," ",$H98),0))</f>
        <v xml:space="preserve"> PL F1-2 MEP Consultant</v>
      </c>
    </row>
    <row r="99" spans="1:16">
      <c r="A99" s="49" t="s">
        <v>885</v>
      </c>
      <c r="B99" s="49" t="s">
        <v>885</v>
      </c>
      <c r="C99" s="66" t="s">
        <v>791</v>
      </c>
      <c r="D99" s="66" t="s">
        <v>174</v>
      </c>
      <c r="E99" s="66">
        <v>1</v>
      </c>
      <c r="F99" s="66" t="s">
        <v>172</v>
      </c>
      <c r="G99" s="66">
        <f t="shared" ref="G99:G106" si="34">+G98+1</f>
        <v>3</v>
      </c>
      <c r="H99" s="66" t="s">
        <v>166</v>
      </c>
      <c r="J99" s="74" t="str">
        <f t="shared" si="20"/>
        <v xml:space="preserve"> CF F Regulatory &amp; Consulting</v>
      </c>
      <c r="K99" s="75" t="str">
        <f t="shared" si="22"/>
        <v xml:space="preserve"> CF F1 Consultants</v>
      </c>
      <c r="L99" s="76" t="str">
        <f t="shared" si="23"/>
        <v xml:space="preserve"> CF F1-3 MIDC Consustant</v>
      </c>
      <c r="M99" s="70" t="str">
        <f t="shared" si="21"/>
        <v xml:space="preserve"> PL F Regulatory &amp; Consulting</v>
      </c>
      <c r="N99" s="71" t="str">
        <f t="shared" si="32"/>
        <v xml:space="preserve"> PL F1 Consultants</v>
      </c>
      <c r="O99" s="78" t="str">
        <f t="shared" si="33"/>
        <v xml:space="preserve"> PL F1-3 MIDC Consustant</v>
      </c>
    </row>
    <row r="100" spans="1:16">
      <c r="A100" s="49" t="s">
        <v>885</v>
      </c>
      <c r="B100" s="49" t="s">
        <v>885</v>
      </c>
      <c r="C100" s="66" t="s">
        <v>791</v>
      </c>
      <c r="D100" s="66" t="s">
        <v>174</v>
      </c>
      <c r="E100" s="66">
        <v>1</v>
      </c>
      <c r="F100" s="66" t="s">
        <v>172</v>
      </c>
      <c r="G100" s="66">
        <f t="shared" si="34"/>
        <v>4</v>
      </c>
      <c r="H100" s="66" t="s">
        <v>164</v>
      </c>
      <c r="J100" s="74" t="str">
        <f t="shared" si="20"/>
        <v xml:space="preserve"> CF F Regulatory &amp; Consulting</v>
      </c>
      <c r="K100" s="75" t="str">
        <f t="shared" si="22"/>
        <v xml:space="preserve"> CF F1 Consultants</v>
      </c>
      <c r="L100" s="76" t="str">
        <f t="shared" si="23"/>
        <v xml:space="preserve"> CF F1-4 RCC Consultant</v>
      </c>
      <c r="M100" s="70" t="str">
        <f t="shared" si="21"/>
        <v xml:space="preserve"> PL F Regulatory &amp; Consulting</v>
      </c>
      <c r="N100" s="71" t="str">
        <f t="shared" si="32"/>
        <v xml:space="preserve"> PL F1 Consultants</v>
      </c>
      <c r="O100" s="78" t="str">
        <f t="shared" si="33"/>
        <v xml:space="preserve"> PL F1-4 RCC Consultant</v>
      </c>
    </row>
    <row r="101" spans="1:16">
      <c r="A101" s="49" t="s">
        <v>885</v>
      </c>
      <c r="B101" s="49" t="s">
        <v>885</v>
      </c>
      <c r="C101" s="66" t="s">
        <v>791</v>
      </c>
      <c r="D101" s="66" t="s">
        <v>174</v>
      </c>
      <c r="E101" s="66">
        <v>1</v>
      </c>
      <c r="F101" s="66" t="s">
        <v>172</v>
      </c>
      <c r="G101" s="66">
        <f t="shared" si="34"/>
        <v>5</v>
      </c>
      <c r="H101" s="66" t="s">
        <v>162</v>
      </c>
      <c r="J101" s="74" t="str">
        <f t="shared" si="20"/>
        <v xml:space="preserve"> CF F Regulatory &amp; Consulting</v>
      </c>
      <c r="K101" s="75" t="str">
        <f t="shared" si="22"/>
        <v xml:space="preserve"> CF F1 Consultants</v>
      </c>
      <c r="L101" s="76" t="str">
        <f t="shared" si="23"/>
        <v xml:space="preserve"> CF F1-5 EC Consultant</v>
      </c>
      <c r="M101" s="70" t="str">
        <f t="shared" si="21"/>
        <v xml:space="preserve"> PL F Regulatory &amp; Consulting</v>
      </c>
      <c r="N101" s="71" t="str">
        <f t="shared" si="32"/>
        <v xml:space="preserve"> PL F1 Consultants</v>
      </c>
      <c r="O101" s="78" t="str">
        <f t="shared" si="33"/>
        <v xml:space="preserve"> PL F1-5 EC Consultant</v>
      </c>
    </row>
    <row r="102" spans="1:16">
      <c r="A102" s="49" t="s">
        <v>885</v>
      </c>
      <c r="B102" s="49" t="s">
        <v>885</v>
      </c>
      <c r="C102" s="66" t="s">
        <v>791</v>
      </c>
      <c r="D102" s="66" t="s">
        <v>174</v>
      </c>
      <c r="E102" s="66">
        <v>1</v>
      </c>
      <c r="F102" s="66" t="s">
        <v>172</v>
      </c>
      <c r="G102" s="66">
        <f t="shared" si="34"/>
        <v>6</v>
      </c>
      <c r="H102" s="66" t="s">
        <v>160</v>
      </c>
      <c r="J102" s="74" t="str">
        <f t="shared" si="20"/>
        <v xml:space="preserve"> CF F Regulatory &amp; Consulting</v>
      </c>
      <c r="K102" s="75" t="str">
        <f t="shared" si="22"/>
        <v xml:space="preserve"> CF F1 Consultants</v>
      </c>
      <c r="L102" s="76" t="str">
        <f t="shared" si="23"/>
        <v xml:space="preserve"> CF F1-6 Land Broker</v>
      </c>
      <c r="M102" s="70" t="str">
        <f t="shared" si="21"/>
        <v xml:space="preserve"> PL F Regulatory &amp; Consulting</v>
      </c>
      <c r="N102" s="71" t="str">
        <f t="shared" si="32"/>
        <v xml:space="preserve"> PL F1 Consultants</v>
      </c>
      <c r="O102" s="78" t="str">
        <f t="shared" si="33"/>
        <v xml:space="preserve"> PL F1-6 Land Broker</v>
      </c>
    </row>
    <row r="103" spans="1:16">
      <c r="A103" s="49" t="s">
        <v>885</v>
      </c>
      <c r="B103" s="49" t="s">
        <v>885</v>
      </c>
      <c r="C103" s="66" t="s">
        <v>791</v>
      </c>
      <c r="D103" s="66" t="s">
        <v>174</v>
      </c>
      <c r="E103" s="66">
        <v>1</v>
      </c>
      <c r="F103" s="66" t="s">
        <v>172</v>
      </c>
      <c r="G103" s="66">
        <f t="shared" si="34"/>
        <v>7</v>
      </c>
      <c r="H103" s="66" t="s">
        <v>158</v>
      </c>
      <c r="J103" s="74" t="str">
        <f t="shared" si="20"/>
        <v xml:space="preserve"> CF F Regulatory &amp; Consulting</v>
      </c>
      <c r="K103" s="75" t="str">
        <f t="shared" si="22"/>
        <v xml:space="preserve"> CF F1 Consultants</v>
      </c>
      <c r="L103" s="76" t="str">
        <f t="shared" si="23"/>
        <v xml:space="preserve"> CF F1-7 Landscape Consultant</v>
      </c>
      <c r="M103" s="70" t="str">
        <f t="shared" si="21"/>
        <v xml:space="preserve"> PL F Regulatory &amp; Consulting</v>
      </c>
      <c r="N103" s="71" t="str">
        <f t="shared" si="32"/>
        <v xml:space="preserve"> PL F1 Consultants</v>
      </c>
      <c r="O103" s="78" t="str">
        <f t="shared" si="33"/>
        <v xml:space="preserve"> PL F1-7 Landscape Consultant</v>
      </c>
    </row>
    <row r="104" spans="1:16">
      <c r="A104" s="49" t="s">
        <v>885</v>
      </c>
      <c r="B104" s="49" t="s">
        <v>885</v>
      </c>
      <c r="C104" s="66" t="s">
        <v>791</v>
      </c>
      <c r="D104" s="66" t="s">
        <v>174</v>
      </c>
      <c r="E104" s="66">
        <v>1</v>
      </c>
      <c r="F104" s="66" t="s">
        <v>172</v>
      </c>
      <c r="G104" s="66">
        <f t="shared" si="34"/>
        <v>8</v>
      </c>
      <c r="H104" s="66" t="s">
        <v>156</v>
      </c>
      <c r="J104" s="74" t="str">
        <f t="shared" si="20"/>
        <v xml:space="preserve"> CF F Regulatory &amp; Consulting</v>
      </c>
      <c r="K104" s="75" t="str">
        <f t="shared" si="22"/>
        <v xml:space="preserve"> CF F1 Consultants</v>
      </c>
      <c r="L104" s="76" t="str">
        <f t="shared" si="23"/>
        <v xml:space="preserve"> CF F1-8 Structural Consultant</v>
      </c>
      <c r="M104" s="70" t="str">
        <f t="shared" si="21"/>
        <v xml:space="preserve"> PL F Regulatory &amp; Consulting</v>
      </c>
      <c r="N104" s="71" t="str">
        <f t="shared" si="32"/>
        <v xml:space="preserve"> PL F1 Consultants</v>
      </c>
      <c r="O104" s="78" t="str">
        <f t="shared" si="33"/>
        <v xml:space="preserve"> PL F1-8 Structural Consultant</v>
      </c>
    </row>
    <row r="105" spans="1:16">
      <c r="A105" s="49" t="s">
        <v>885</v>
      </c>
      <c r="B105" s="49" t="s">
        <v>885</v>
      </c>
      <c r="C105" s="66" t="s">
        <v>791</v>
      </c>
      <c r="D105" s="66" t="s">
        <v>174</v>
      </c>
      <c r="E105" s="66">
        <v>1</v>
      </c>
      <c r="F105" s="66" t="s">
        <v>172</v>
      </c>
      <c r="G105" s="66">
        <f t="shared" si="34"/>
        <v>9</v>
      </c>
      <c r="H105" s="66" t="s">
        <v>154</v>
      </c>
      <c r="J105" s="74" t="str">
        <f t="shared" si="20"/>
        <v xml:space="preserve"> CF F Regulatory &amp; Consulting</v>
      </c>
      <c r="K105" s="75" t="str">
        <f t="shared" si="22"/>
        <v xml:space="preserve"> CF F1 Consultants</v>
      </c>
      <c r="L105" s="76" t="str">
        <f t="shared" si="23"/>
        <v xml:space="preserve"> CF F1-9 Legal Consultant</v>
      </c>
      <c r="M105" s="70" t="str">
        <f t="shared" si="21"/>
        <v xml:space="preserve"> PL F Regulatory &amp; Consulting</v>
      </c>
      <c r="N105" s="71" t="str">
        <f t="shared" si="32"/>
        <v xml:space="preserve"> PL F1 Consultants</v>
      </c>
      <c r="O105" s="78" t="str">
        <f t="shared" si="33"/>
        <v xml:space="preserve"> PL F1-9 Legal Consultant</v>
      </c>
    </row>
    <row r="106" spans="1:16">
      <c r="A106" s="49" t="s">
        <v>885</v>
      </c>
      <c r="B106" s="49" t="s">
        <v>885</v>
      </c>
      <c r="C106" s="66" t="s">
        <v>791</v>
      </c>
      <c r="D106" s="66" t="s">
        <v>174</v>
      </c>
      <c r="E106" s="66">
        <v>1</v>
      </c>
      <c r="F106" s="66" t="s">
        <v>172</v>
      </c>
      <c r="G106" s="66">
        <f t="shared" si="34"/>
        <v>10</v>
      </c>
      <c r="H106" s="66" t="s">
        <v>152</v>
      </c>
      <c r="J106" s="74" t="str">
        <f t="shared" si="20"/>
        <v xml:space="preserve"> CF F Regulatory &amp; Consulting</v>
      </c>
      <c r="K106" s="75" t="str">
        <f t="shared" si="22"/>
        <v xml:space="preserve"> CF F1 Consultants</v>
      </c>
      <c r="L106" s="76" t="str">
        <f t="shared" si="23"/>
        <v xml:space="preserve"> CF F1-10 Survayer</v>
      </c>
      <c r="M106" s="70" t="str">
        <f t="shared" si="21"/>
        <v xml:space="preserve"> PL F Regulatory &amp; Consulting</v>
      </c>
      <c r="N106" s="71" t="str">
        <f t="shared" si="32"/>
        <v xml:space="preserve"> PL F1 Consultants</v>
      </c>
      <c r="O106" s="78" t="str">
        <f t="shared" si="33"/>
        <v xml:space="preserve"> PL F1-10 Survayer</v>
      </c>
    </row>
    <row r="107" spans="1:16">
      <c r="A107" s="49" t="s">
        <v>885</v>
      </c>
      <c r="B107" s="49" t="s">
        <v>885</v>
      </c>
      <c r="C107" s="66" t="s">
        <v>791</v>
      </c>
      <c r="D107" s="66" t="s">
        <v>174</v>
      </c>
      <c r="E107" s="66">
        <v>2</v>
      </c>
      <c r="F107" s="66" t="s">
        <v>150</v>
      </c>
      <c r="G107" s="66">
        <v>1</v>
      </c>
      <c r="H107" s="66" t="s">
        <v>148</v>
      </c>
      <c r="J107" s="74" t="str">
        <f t="shared" si="20"/>
        <v xml:space="preserve"> CF F Regulatory &amp; Consulting</v>
      </c>
      <c r="K107" s="75" t="str">
        <f t="shared" si="22"/>
        <v xml:space="preserve"> CF F2 NOC</v>
      </c>
      <c r="L107" s="76" t="str">
        <f t="shared" si="23"/>
        <v xml:space="preserve"> CF F2-1 MIDC NAME TRANSFER CHALLAN</v>
      </c>
      <c r="M107" s="70" t="str">
        <f t="shared" si="21"/>
        <v xml:space="preserve"> PL F Regulatory &amp; Consulting</v>
      </c>
      <c r="N107" s="71" t="str">
        <f t="shared" si="32"/>
        <v xml:space="preserve"> PL F2 NOC</v>
      </c>
      <c r="O107" s="78" t="str">
        <f t="shared" si="33"/>
        <v xml:space="preserve"> PL F2-1 MIDC NAME TRANSFER CHALLAN</v>
      </c>
      <c r="P107" s="86"/>
    </row>
    <row r="108" spans="1:16">
      <c r="A108" s="49" t="s">
        <v>885</v>
      </c>
      <c r="B108" s="49" t="s">
        <v>885</v>
      </c>
      <c r="C108" s="66" t="s">
        <v>791</v>
      </c>
      <c r="D108" s="66" t="s">
        <v>174</v>
      </c>
      <c r="E108" s="66">
        <v>2</v>
      </c>
      <c r="F108" s="66" t="s">
        <v>150</v>
      </c>
      <c r="G108" s="66">
        <f>+G107+1</f>
        <v>2</v>
      </c>
      <c r="H108" s="66" t="s">
        <v>146</v>
      </c>
      <c r="J108" s="74" t="str">
        <f t="shared" si="20"/>
        <v xml:space="preserve"> CF F Regulatory &amp; Consulting</v>
      </c>
      <c r="K108" s="75" t="str">
        <f t="shared" si="22"/>
        <v xml:space="preserve"> CF F2 NOC</v>
      </c>
      <c r="L108" s="76" t="str">
        <f t="shared" si="23"/>
        <v xml:space="preserve"> CF F2-2 MIDC IOD</v>
      </c>
      <c r="M108" s="70" t="str">
        <f t="shared" si="21"/>
        <v xml:space="preserve"> PL F Regulatory &amp; Consulting</v>
      </c>
      <c r="N108" s="71" t="str">
        <f t="shared" si="32"/>
        <v xml:space="preserve"> PL F2 NOC</v>
      </c>
      <c r="O108" s="78" t="str">
        <f t="shared" si="33"/>
        <v xml:space="preserve"> PL F2-2 MIDC IOD</v>
      </c>
      <c r="P108" s="86"/>
    </row>
    <row r="109" spans="1:16">
      <c r="A109" s="49" t="s">
        <v>885</v>
      </c>
      <c r="B109" s="49" t="s">
        <v>885</v>
      </c>
      <c r="C109" s="66" t="s">
        <v>791</v>
      </c>
      <c r="D109" s="66" t="s">
        <v>174</v>
      </c>
      <c r="E109" s="66">
        <v>2</v>
      </c>
      <c r="F109" s="66" t="s">
        <v>150</v>
      </c>
      <c r="G109" s="66">
        <f t="shared" ref="G109:G121" si="35">+G108+1</f>
        <v>3</v>
      </c>
      <c r="H109" s="66" t="s">
        <v>144</v>
      </c>
      <c r="J109" s="74" t="str">
        <f t="shared" si="20"/>
        <v xml:space="preserve"> CF F Regulatory &amp; Consulting</v>
      </c>
      <c r="K109" s="75" t="str">
        <f t="shared" si="22"/>
        <v xml:space="preserve"> CF F2 NOC</v>
      </c>
      <c r="L109" s="76" t="str">
        <f t="shared" si="23"/>
        <v xml:space="preserve"> CF F2-3 MIDC plan sanction</v>
      </c>
      <c r="M109" s="70" t="str">
        <f t="shared" si="21"/>
        <v xml:space="preserve"> PL F Regulatory &amp; Consulting</v>
      </c>
      <c r="N109" s="71" t="str">
        <f t="shared" si="32"/>
        <v xml:space="preserve"> PL F2 NOC</v>
      </c>
      <c r="O109" s="78" t="str">
        <f t="shared" si="33"/>
        <v xml:space="preserve"> PL F2-3 MIDC plan sanction</v>
      </c>
      <c r="P109" s="86"/>
    </row>
    <row r="110" spans="1:16">
      <c r="A110" s="49" t="s">
        <v>885</v>
      </c>
      <c r="B110" s="49" t="s">
        <v>885</v>
      </c>
      <c r="C110" s="66" t="s">
        <v>791</v>
      </c>
      <c r="D110" s="66" t="s">
        <v>174</v>
      </c>
      <c r="E110" s="66">
        <v>2</v>
      </c>
      <c r="F110" s="66" t="s">
        <v>150</v>
      </c>
      <c r="G110" s="66">
        <f t="shared" si="35"/>
        <v>4</v>
      </c>
      <c r="H110" s="66" t="s">
        <v>142</v>
      </c>
      <c r="J110" s="74" t="str">
        <f t="shared" si="20"/>
        <v xml:space="preserve"> CF F Regulatory &amp; Consulting</v>
      </c>
      <c r="K110" s="75" t="str">
        <f t="shared" si="22"/>
        <v xml:space="preserve"> CF F2 NOC</v>
      </c>
      <c r="L110" s="76" t="str">
        <f t="shared" si="23"/>
        <v xml:space="preserve"> CF F2-4 EC Clerance </v>
      </c>
      <c r="M110" s="70" t="str">
        <f t="shared" si="21"/>
        <v xml:space="preserve"> PL F Regulatory &amp; Consulting</v>
      </c>
      <c r="N110" s="71" t="str">
        <f t="shared" si="32"/>
        <v xml:space="preserve"> PL F2 NOC</v>
      </c>
      <c r="O110" s="78" t="str">
        <f t="shared" si="33"/>
        <v xml:space="preserve"> PL F2-4 EC Clerance </v>
      </c>
      <c r="P110" s="86"/>
    </row>
    <row r="111" spans="1:16">
      <c r="A111" s="49" t="s">
        <v>885</v>
      </c>
      <c r="B111" s="49" t="s">
        <v>885</v>
      </c>
      <c r="C111" s="66" t="s">
        <v>791</v>
      </c>
      <c r="D111" s="66" t="s">
        <v>174</v>
      </c>
      <c r="E111" s="66">
        <v>2</v>
      </c>
      <c r="F111" s="66" t="s">
        <v>150</v>
      </c>
      <c r="G111" s="66">
        <f t="shared" si="35"/>
        <v>5</v>
      </c>
      <c r="H111" s="66" t="s">
        <v>140</v>
      </c>
      <c r="J111" s="74" t="str">
        <f t="shared" si="20"/>
        <v xml:space="preserve"> CF F Regulatory &amp; Consulting</v>
      </c>
      <c r="K111" s="75" t="str">
        <f t="shared" si="22"/>
        <v xml:space="preserve"> CF F2 NOC</v>
      </c>
      <c r="L111" s="76" t="str">
        <f t="shared" si="23"/>
        <v xml:space="preserve"> CF F2-5 Swacch NOC/agreement</v>
      </c>
      <c r="M111" s="70" t="str">
        <f t="shared" si="21"/>
        <v xml:space="preserve"> PL F Regulatory &amp; Consulting</v>
      </c>
      <c r="N111" s="71" t="str">
        <f t="shared" si="32"/>
        <v xml:space="preserve"> PL F2 NOC</v>
      </c>
      <c r="O111" s="78" t="str">
        <f t="shared" si="33"/>
        <v xml:space="preserve"> PL F2-5 Swacch NOC/agreement</v>
      </c>
      <c r="P111" s="86"/>
    </row>
    <row r="112" spans="1:16">
      <c r="A112" s="49" t="s">
        <v>885</v>
      </c>
      <c r="B112" s="49" t="s">
        <v>885</v>
      </c>
      <c r="C112" s="66" t="s">
        <v>791</v>
      </c>
      <c r="D112" s="66" t="s">
        <v>174</v>
      </c>
      <c r="E112" s="66">
        <v>2</v>
      </c>
      <c r="F112" s="66" t="s">
        <v>150</v>
      </c>
      <c r="G112" s="66">
        <f t="shared" si="35"/>
        <v>6</v>
      </c>
      <c r="H112" s="66" t="s">
        <v>138</v>
      </c>
      <c r="J112" s="74" t="str">
        <f t="shared" si="20"/>
        <v xml:space="preserve"> CF F Regulatory &amp; Consulting</v>
      </c>
      <c r="K112" s="75" t="str">
        <f t="shared" si="22"/>
        <v xml:space="preserve"> CF F2 NOC</v>
      </c>
      <c r="L112" s="76" t="str">
        <f t="shared" si="23"/>
        <v xml:space="preserve"> CF F2-6 Fire NOC</v>
      </c>
      <c r="M112" s="70" t="str">
        <f t="shared" si="21"/>
        <v xml:space="preserve"> PL F Regulatory &amp; Consulting</v>
      </c>
      <c r="N112" s="71" t="str">
        <f t="shared" si="32"/>
        <v xml:space="preserve"> PL F2 NOC</v>
      </c>
      <c r="O112" s="78" t="str">
        <f t="shared" si="33"/>
        <v xml:space="preserve"> PL F2-6 Fire NOC</v>
      </c>
      <c r="P112" s="86"/>
    </row>
    <row r="113" spans="1:16">
      <c r="A113" s="49" t="s">
        <v>885</v>
      </c>
      <c r="B113" s="49" t="s">
        <v>885</v>
      </c>
      <c r="C113" s="66" t="s">
        <v>791</v>
      </c>
      <c r="D113" s="66" t="s">
        <v>174</v>
      </c>
      <c r="E113" s="66">
        <v>2</v>
      </c>
      <c r="F113" s="66" t="s">
        <v>150</v>
      </c>
      <c r="G113" s="66">
        <f t="shared" si="35"/>
        <v>7</v>
      </c>
      <c r="H113" s="66" t="s">
        <v>136</v>
      </c>
      <c r="J113" s="74" t="str">
        <f t="shared" si="20"/>
        <v xml:space="preserve"> CF F Regulatory &amp; Consulting</v>
      </c>
      <c r="K113" s="75" t="str">
        <f t="shared" si="22"/>
        <v xml:space="preserve"> CF F2 NOC</v>
      </c>
      <c r="L113" s="76" t="str">
        <f t="shared" si="23"/>
        <v xml:space="preserve"> CF F2-7 Garden NOC</v>
      </c>
      <c r="M113" s="70" t="str">
        <f t="shared" si="21"/>
        <v xml:space="preserve"> PL F Regulatory &amp; Consulting</v>
      </c>
      <c r="N113" s="71" t="str">
        <f t="shared" si="32"/>
        <v xml:space="preserve"> PL F2 NOC</v>
      </c>
      <c r="O113" s="78" t="str">
        <f t="shared" si="33"/>
        <v xml:space="preserve"> PL F2-7 Garden NOC</v>
      </c>
      <c r="P113" s="86"/>
    </row>
    <row r="114" spans="1:16">
      <c r="A114" s="49" t="s">
        <v>885</v>
      </c>
      <c r="B114" s="49" t="s">
        <v>885</v>
      </c>
      <c r="C114" s="66" t="s">
        <v>791</v>
      </c>
      <c r="D114" s="66" t="s">
        <v>174</v>
      </c>
      <c r="E114" s="66">
        <v>2</v>
      </c>
      <c r="F114" s="66" t="s">
        <v>150</v>
      </c>
      <c r="G114" s="66">
        <f t="shared" si="35"/>
        <v>8</v>
      </c>
      <c r="H114" s="66" t="s">
        <v>134</v>
      </c>
      <c r="J114" s="74" t="str">
        <f t="shared" si="20"/>
        <v xml:space="preserve"> CF F Regulatory &amp; Consulting</v>
      </c>
      <c r="K114" s="75" t="str">
        <f t="shared" si="22"/>
        <v xml:space="preserve"> CF F2 NOC</v>
      </c>
      <c r="L114" s="76" t="str">
        <f t="shared" si="23"/>
        <v xml:space="preserve"> CF F2-8 Drainage NOC</v>
      </c>
      <c r="M114" s="70" t="str">
        <f t="shared" si="21"/>
        <v xml:space="preserve"> PL F Regulatory &amp; Consulting</v>
      </c>
      <c r="N114" s="71" t="str">
        <f t="shared" si="32"/>
        <v xml:space="preserve"> PL F2 NOC</v>
      </c>
      <c r="O114" s="78" t="str">
        <f t="shared" si="33"/>
        <v xml:space="preserve"> PL F2-8 Drainage NOC</v>
      </c>
      <c r="P114" s="86"/>
    </row>
    <row r="115" spans="1:16">
      <c r="A115" s="49" t="s">
        <v>885</v>
      </c>
      <c r="B115" s="49" t="s">
        <v>885</v>
      </c>
      <c r="C115" s="66" t="s">
        <v>791</v>
      </c>
      <c r="D115" s="66" t="s">
        <v>174</v>
      </c>
      <c r="E115" s="66">
        <v>2</v>
      </c>
      <c r="F115" s="66" t="s">
        <v>150</v>
      </c>
      <c r="G115" s="66">
        <f t="shared" si="35"/>
        <v>9</v>
      </c>
      <c r="H115" s="66" t="s">
        <v>132</v>
      </c>
      <c r="J115" s="74" t="str">
        <f t="shared" si="20"/>
        <v xml:space="preserve"> CF F Regulatory &amp; Consulting</v>
      </c>
      <c r="K115" s="75" t="str">
        <f t="shared" si="22"/>
        <v xml:space="preserve"> CF F2 NOC</v>
      </c>
      <c r="L115" s="76" t="str">
        <f t="shared" si="23"/>
        <v xml:space="preserve"> CF F2-9 Water NOC</v>
      </c>
      <c r="M115" s="70" t="str">
        <f t="shared" si="21"/>
        <v xml:space="preserve"> PL F Regulatory &amp; Consulting</v>
      </c>
      <c r="N115" s="71" t="str">
        <f t="shared" si="32"/>
        <v xml:space="preserve"> PL F2 NOC</v>
      </c>
      <c r="O115" s="78" t="str">
        <f t="shared" si="33"/>
        <v xml:space="preserve"> PL F2-9 Water NOC</v>
      </c>
      <c r="P115" s="86"/>
    </row>
    <row r="116" spans="1:16">
      <c r="A116" s="49" t="s">
        <v>885</v>
      </c>
      <c r="B116" s="49" t="s">
        <v>885</v>
      </c>
      <c r="C116" s="66" t="s">
        <v>791</v>
      </c>
      <c r="D116" s="66" t="s">
        <v>174</v>
      </c>
      <c r="E116" s="66">
        <v>2</v>
      </c>
      <c r="F116" s="66" t="s">
        <v>150</v>
      </c>
      <c r="G116" s="66">
        <f t="shared" si="35"/>
        <v>10</v>
      </c>
      <c r="H116" s="66" t="s">
        <v>130</v>
      </c>
      <c r="J116" s="74" t="str">
        <f t="shared" si="20"/>
        <v xml:space="preserve"> CF F Regulatory &amp; Consulting</v>
      </c>
      <c r="K116" s="75" t="str">
        <f t="shared" si="22"/>
        <v xml:space="preserve"> CF F2 NOC</v>
      </c>
      <c r="L116" s="76" t="str">
        <f t="shared" si="23"/>
        <v xml:space="preserve"> CF F2-10 Height/elevation NOC</v>
      </c>
      <c r="M116" s="70" t="str">
        <f t="shared" si="21"/>
        <v xml:space="preserve"> PL F Regulatory &amp; Consulting</v>
      </c>
      <c r="N116" s="71" t="str">
        <f t="shared" si="32"/>
        <v xml:space="preserve"> PL F2 NOC</v>
      </c>
      <c r="O116" s="78" t="str">
        <f t="shared" si="33"/>
        <v xml:space="preserve"> PL F2-10 Height/elevation NOC</v>
      </c>
      <c r="P116" s="86"/>
    </row>
    <row r="117" spans="1:16">
      <c r="A117" s="49" t="s">
        <v>885</v>
      </c>
      <c r="B117" s="49" t="s">
        <v>885</v>
      </c>
      <c r="C117" s="66" t="s">
        <v>791</v>
      </c>
      <c r="D117" s="66" t="s">
        <v>174</v>
      </c>
      <c r="E117" s="66">
        <v>2</v>
      </c>
      <c r="F117" s="66" t="s">
        <v>150</v>
      </c>
      <c r="G117" s="66">
        <f t="shared" si="35"/>
        <v>11</v>
      </c>
      <c r="H117" s="66" t="s">
        <v>128</v>
      </c>
      <c r="J117" s="74" t="str">
        <f t="shared" si="20"/>
        <v xml:space="preserve"> CF F Regulatory &amp; Consulting</v>
      </c>
      <c r="K117" s="75" t="str">
        <f t="shared" si="22"/>
        <v xml:space="preserve"> CF F2 NOC</v>
      </c>
      <c r="L117" s="76" t="str">
        <f t="shared" si="23"/>
        <v xml:space="preserve"> CF F2-11 Parivesh Fees</v>
      </c>
      <c r="M117" s="70" t="str">
        <f t="shared" si="21"/>
        <v xml:space="preserve"> PL F Regulatory &amp; Consulting</v>
      </c>
      <c r="N117" s="71" t="str">
        <f t="shared" si="32"/>
        <v xml:space="preserve"> PL F2 NOC</v>
      </c>
      <c r="O117" s="78" t="str">
        <f t="shared" si="33"/>
        <v xml:space="preserve"> PL F2-11 Parivesh Fees</v>
      </c>
      <c r="P117" s="86"/>
    </row>
    <row r="118" spans="1:16">
      <c r="A118" s="49" t="s">
        <v>885</v>
      </c>
      <c r="B118" s="49" t="s">
        <v>885</v>
      </c>
      <c r="C118" s="66" t="s">
        <v>791</v>
      </c>
      <c r="D118" s="66" t="s">
        <v>174</v>
      </c>
      <c r="E118" s="66">
        <v>2</v>
      </c>
      <c r="F118" s="66" t="s">
        <v>150</v>
      </c>
      <c r="G118" s="66">
        <f t="shared" si="35"/>
        <v>12</v>
      </c>
      <c r="H118" s="66" t="s">
        <v>126</v>
      </c>
      <c r="J118" s="74" t="str">
        <f t="shared" si="20"/>
        <v xml:space="preserve"> CF F Regulatory &amp; Consulting</v>
      </c>
      <c r="K118" s="75" t="str">
        <f t="shared" si="22"/>
        <v xml:space="preserve"> CF F2 NOC</v>
      </c>
      <c r="L118" s="76" t="str">
        <f t="shared" si="23"/>
        <v xml:space="preserve"> CF F2-12 Royalty for excavation</v>
      </c>
      <c r="M118" s="70" t="str">
        <f t="shared" si="21"/>
        <v xml:space="preserve"> PL F Regulatory &amp; Consulting</v>
      </c>
      <c r="N118" s="71" t="str">
        <f t="shared" si="32"/>
        <v xml:space="preserve"> PL F2 NOC</v>
      </c>
      <c r="O118" s="78" t="str">
        <f t="shared" si="33"/>
        <v xml:space="preserve"> PL F2-12 Royalty for excavation</v>
      </c>
      <c r="P118" s="86"/>
    </row>
    <row r="119" spans="1:16">
      <c r="A119" s="49" t="s">
        <v>885</v>
      </c>
      <c r="B119" s="49" t="s">
        <v>885</v>
      </c>
      <c r="C119" s="66" t="s">
        <v>791</v>
      </c>
      <c r="D119" s="66" t="s">
        <v>174</v>
      </c>
      <c r="E119" s="66">
        <v>2</v>
      </c>
      <c r="F119" s="66" t="s">
        <v>150</v>
      </c>
      <c r="G119" s="66">
        <f t="shared" si="35"/>
        <v>13</v>
      </c>
      <c r="H119" s="66" t="s">
        <v>124</v>
      </c>
      <c r="J119" s="74" t="str">
        <f t="shared" si="20"/>
        <v xml:space="preserve"> CF F Regulatory &amp; Consulting</v>
      </c>
      <c r="K119" s="75" t="str">
        <f t="shared" si="22"/>
        <v xml:space="preserve"> CF F2 NOC</v>
      </c>
      <c r="L119" s="76" t="str">
        <f t="shared" si="23"/>
        <v xml:space="preserve"> CF F2-13 Blast permission</v>
      </c>
      <c r="M119" s="70" t="str">
        <f t="shared" si="21"/>
        <v xml:space="preserve"> PL F Regulatory &amp; Consulting</v>
      </c>
      <c r="N119" s="71" t="str">
        <f t="shared" si="32"/>
        <v xml:space="preserve"> PL F2 NOC</v>
      </c>
      <c r="O119" s="78" t="str">
        <f t="shared" si="33"/>
        <v xml:space="preserve"> PL F2-13 Blast permission</v>
      </c>
      <c r="P119" s="86"/>
    </row>
    <row r="120" spans="1:16">
      <c r="A120" s="49" t="s">
        <v>885</v>
      </c>
      <c r="B120" s="49" t="s">
        <v>885</v>
      </c>
      <c r="C120" s="66" t="s">
        <v>791</v>
      </c>
      <c r="D120" s="66" t="s">
        <v>174</v>
      </c>
      <c r="E120" s="66">
        <v>2</v>
      </c>
      <c r="F120" s="66" t="s">
        <v>150</v>
      </c>
      <c r="G120" s="66">
        <f t="shared" si="35"/>
        <v>14</v>
      </c>
      <c r="H120" s="66" t="s">
        <v>122</v>
      </c>
      <c r="J120" s="74" t="str">
        <f t="shared" si="20"/>
        <v xml:space="preserve"> CF F Regulatory &amp; Consulting</v>
      </c>
      <c r="K120" s="75" t="str">
        <f t="shared" si="22"/>
        <v xml:space="preserve"> CF F2 NOC</v>
      </c>
      <c r="L120" s="76" t="str">
        <f t="shared" si="23"/>
        <v xml:space="preserve"> CF F2-14 NOC Charges (FOR ELEVATION)</v>
      </c>
      <c r="M120" s="70" t="str">
        <f t="shared" si="21"/>
        <v xml:space="preserve"> PL F Regulatory &amp; Consulting</v>
      </c>
      <c r="N120" s="71" t="str">
        <f t="shared" si="32"/>
        <v xml:space="preserve"> PL F2 NOC</v>
      </c>
      <c r="O120" s="78" t="str">
        <f t="shared" si="33"/>
        <v xml:space="preserve"> PL F2-14 NOC Charges (FOR ELEVATION)</v>
      </c>
      <c r="P120" s="86"/>
    </row>
    <row r="121" spans="1:16">
      <c r="A121" s="49" t="s">
        <v>885</v>
      </c>
      <c r="B121" s="49" t="s">
        <v>885</v>
      </c>
      <c r="C121" s="66" t="s">
        <v>791</v>
      </c>
      <c r="D121" s="66" t="s">
        <v>174</v>
      </c>
      <c r="E121" s="66">
        <v>2</v>
      </c>
      <c r="F121" s="66" t="s">
        <v>150</v>
      </c>
      <c r="G121" s="66">
        <f t="shared" si="35"/>
        <v>15</v>
      </c>
      <c r="H121" s="66" t="s">
        <v>120</v>
      </c>
      <c r="J121" s="74" t="str">
        <f t="shared" si="20"/>
        <v xml:space="preserve"> CF F Regulatory &amp; Consulting</v>
      </c>
      <c r="K121" s="75" t="str">
        <f t="shared" si="22"/>
        <v xml:space="preserve"> CF F2 NOC</v>
      </c>
      <c r="L121" s="76" t="str">
        <f t="shared" si="23"/>
        <v xml:space="preserve"> CF F2-15 MSEDCL</v>
      </c>
      <c r="M121" s="70" t="str">
        <f t="shared" si="21"/>
        <v xml:space="preserve"> PL F Regulatory &amp; Consulting</v>
      </c>
      <c r="N121" s="71" t="str">
        <f t="shared" si="32"/>
        <v xml:space="preserve"> PL F2 NOC</v>
      </c>
      <c r="O121" s="78" t="str">
        <f t="shared" si="33"/>
        <v xml:space="preserve"> PL F2-15 MSEDCL</v>
      </c>
      <c r="P121" s="86"/>
    </row>
    <row r="122" spans="1:16">
      <c r="A122" s="49" t="s">
        <v>885</v>
      </c>
      <c r="B122" s="49" t="s">
        <v>886</v>
      </c>
      <c r="C122" s="66" t="s">
        <v>565</v>
      </c>
      <c r="D122" s="66" t="s">
        <v>91</v>
      </c>
      <c r="E122" s="66">
        <v>1</v>
      </c>
      <c r="F122" s="66" t="s">
        <v>89</v>
      </c>
      <c r="G122" s="66">
        <v>1</v>
      </c>
      <c r="H122" s="66" t="s">
        <v>897</v>
      </c>
      <c r="I122" s="55" t="s">
        <v>899</v>
      </c>
      <c r="J122" s="74" t="str">
        <f t="shared" ref="J122:J130" si="36">IF($A122="No",0,IF(ISBLANK($D122)=FALSE,CONCATENATE(,$C$2," ",$J$2," ",$C122," ",$D122),0))</f>
        <v xml:space="preserve"> CF K Government Duties &amp; Taxes Paid</v>
      </c>
      <c r="K122" s="75" t="str">
        <f t="shared" ref="K122:K130" si="37">IF($J122=0,0,IF(ISBLANK($F122)=FALSE,CONCATENATE(,$C$2," ",$J$2," ",$C122,$E122," ",$F122),0))</f>
        <v xml:space="preserve"> CF K1 GST</v>
      </c>
      <c r="L122" s="76" t="str">
        <f t="shared" ref="L122:L130" si="38">IF($K122=0,0,IF(ISBLANK($F122)=FALSE,CONCATENATE(,$C$2," ",$J$2," ",$C122,$E122,,"-",$G122,," ",$H122),0))</f>
        <v xml:space="preserve"> CF K1-1 CGST Paid</v>
      </c>
      <c r="M122" s="70">
        <f t="shared" ref="M122:M130" si="39">IF($B122="No",0,IF(ISBLANK($D122)=FALSE,CONCATENATE(,$C$2," ",$M$2," ",$C122," ",$D122),0))</f>
        <v>0</v>
      </c>
      <c r="N122" s="71">
        <f t="shared" ref="N122:N126" si="40">IF(M122=0,0,IF(ISBLANK($F122)=FALSE,CONCATENATE(,$C$2," ",$M$2," ",$C122,$E122," ",$F122),0))</f>
        <v>0</v>
      </c>
      <c r="O122" s="78">
        <f t="shared" ref="O122:O126" si="41">IF(N122=0,0,IF(ISBLANK($F122)=FALSE,CONCATENATE(,$C$2," ",$M$2," ",$C122,$E122,,"-",$G122,," ",$H122),0))</f>
        <v>0</v>
      </c>
      <c r="P122" s="86"/>
    </row>
    <row r="123" spans="1:16">
      <c r="A123" s="49" t="s">
        <v>885</v>
      </c>
      <c r="B123" s="49" t="s">
        <v>886</v>
      </c>
      <c r="C123" s="66" t="s">
        <v>565</v>
      </c>
      <c r="D123" s="66" t="s">
        <v>91</v>
      </c>
      <c r="E123" s="66">
        <v>1</v>
      </c>
      <c r="F123" s="66" t="s">
        <v>89</v>
      </c>
      <c r="G123" s="66">
        <v>2</v>
      </c>
      <c r="H123" s="66" t="s">
        <v>898</v>
      </c>
      <c r="I123" s="55" t="s">
        <v>899</v>
      </c>
      <c r="J123" s="74" t="str">
        <f t="shared" si="36"/>
        <v xml:space="preserve"> CF K Government Duties &amp; Taxes Paid</v>
      </c>
      <c r="K123" s="75" t="str">
        <f t="shared" si="37"/>
        <v xml:space="preserve"> CF K1 GST</v>
      </c>
      <c r="L123" s="76" t="str">
        <f t="shared" si="38"/>
        <v xml:space="preserve"> CF K1-2 SGST Paid</v>
      </c>
      <c r="M123" s="70">
        <f t="shared" si="39"/>
        <v>0</v>
      </c>
      <c r="N123" s="71">
        <f t="shared" si="40"/>
        <v>0</v>
      </c>
      <c r="O123" s="78">
        <f t="shared" si="41"/>
        <v>0</v>
      </c>
      <c r="P123" s="86"/>
    </row>
    <row r="124" spans="1:16">
      <c r="A124" s="49" t="s">
        <v>885</v>
      </c>
      <c r="B124" s="49" t="s">
        <v>886</v>
      </c>
      <c r="C124" s="66" t="s">
        <v>565</v>
      </c>
      <c r="D124" s="66" t="s">
        <v>91</v>
      </c>
      <c r="E124" s="66">
        <v>1</v>
      </c>
      <c r="F124" s="66" t="s">
        <v>89</v>
      </c>
      <c r="G124" s="66">
        <v>3</v>
      </c>
      <c r="H124" s="66" t="s">
        <v>900</v>
      </c>
      <c r="I124" s="55" t="s">
        <v>902</v>
      </c>
      <c r="J124" s="74" t="str">
        <f t="shared" si="36"/>
        <v xml:space="preserve"> CF K Government Duties &amp; Taxes Paid</v>
      </c>
      <c r="K124" s="75" t="str">
        <f t="shared" si="37"/>
        <v xml:space="preserve"> CF K1 GST</v>
      </c>
      <c r="L124" s="76" t="str">
        <f t="shared" si="38"/>
        <v xml:space="preserve"> CF K1-3 RCM CGST Paid</v>
      </c>
      <c r="M124" s="70">
        <f t="shared" si="39"/>
        <v>0</v>
      </c>
      <c r="N124" s="71">
        <f t="shared" si="40"/>
        <v>0</v>
      </c>
      <c r="O124" s="78">
        <f t="shared" si="41"/>
        <v>0</v>
      </c>
      <c r="P124" s="86"/>
    </row>
    <row r="125" spans="1:16">
      <c r="A125" s="49" t="s">
        <v>885</v>
      </c>
      <c r="B125" s="49" t="s">
        <v>886</v>
      </c>
      <c r="C125" s="66" t="s">
        <v>565</v>
      </c>
      <c r="D125" s="66" t="s">
        <v>91</v>
      </c>
      <c r="E125" s="66">
        <v>1</v>
      </c>
      <c r="F125" s="66" t="s">
        <v>89</v>
      </c>
      <c r="G125" s="66">
        <v>4</v>
      </c>
      <c r="H125" s="66" t="s">
        <v>901</v>
      </c>
      <c r="I125" s="55" t="s">
        <v>902</v>
      </c>
      <c r="J125" s="74" t="str">
        <f t="shared" si="36"/>
        <v xml:space="preserve"> CF K Government Duties &amp; Taxes Paid</v>
      </c>
      <c r="K125" s="75" t="str">
        <f t="shared" si="37"/>
        <v xml:space="preserve"> CF K1 GST</v>
      </c>
      <c r="L125" s="76" t="str">
        <f t="shared" si="38"/>
        <v xml:space="preserve"> CF K1-4 RCM SGST Paid</v>
      </c>
      <c r="M125" s="70">
        <f t="shared" si="39"/>
        <v>0</v>
      </c>
      <c r="N125" s="71">
        <f t="shared" si="40"/>
        <v>0</v>
      </c>
      <c r="O125" s="78">
        <f t="shared" si="41"/>
        <v>0</v>
      </c>
      <c r="P125" s="86"/>
    </row>
    <row r="126" spans="1:16">
      <c r="A126" s="49" t="s">
        <v>885</v>
      </c>
      <c r="B126" s="49" t="s">
        <v>886</v>
      </c>
      <c r="C126" s="66" t="s">
        <v>565</v>
      </c>
      <c r="D126" s="66" t="s">
        <v>91</v>
      </c>
      <c r="E126" s="66">
        <v>2</v>
      </c>
      <c r="F126" s="66" t="s">
        <v>61</v>
      </c>
      <c r="G126" s="66">
        <v>1</v>
      </c>
      <c r="H126" s="66" t="s">
        <v>903</v>
      </c>
      <c r="J126" s="74" t="str">
        <f t="shared" si="36"/>
        <v xml:space="preserve"> CF K Government Duties &amp; Taxes Paid</v>
      </c>
      <c r="K126" s="75" t="str">
        <f t="shared" si="37"/>
        <v xml:space="preserve"> CF K2 Income Tax</v>
      </c>
      <c r="L126" s="76" t="str">
        <f t="shared" si="38"/>
        <v xml:space="preserve"> CF K2-1 Advance Tax Paid</v>
      </c>
      <c r="M126" s="70">
        <f t="shared" si="39"/>
        <v>0</v>
      </c>
      <c r="N126" s="71">
        <f t="shared" si="40"/>
        <v>0</v>
      </c>
      <c r="O126" s="78">
        <f t="shared" si="41"/>
        <v>0</v>
      </c>
      <c r="P126" s="86"/>
    </row>
    <row r="127" spans="1:16">
      <c r="A127" s="49" t="s">
        <v>886</v>
      </c>
      <c r="B127" s="49" t="s">
        <v>885</v>
      </c>
      <c r="C127" s="66" t="s">
        <v>565</v>
      </c>
      <c r="D127" s="66" t="s">
        <v>91</v>
      </c>
      <c r="E127" s="66">
        <v>2</v>
      </c>
      <c r="F127" s="66" t="s">
        <v>61</v>
      </c>
      <c r="G127" s="66">
        <v>2</v>
      </c>
      <c r="H127" s="66" t="s">
        <v>907</v>
      </c>
      <c r="I127" s="55" t="s">
        <v>908</v>
      </c>
      <c r="J127" s="74">
        <f t="shared" si="36"/>
        <v>0</v>
      </c>
      <c r="K127" s="75">
        <f t="shared" si="37"/>
        <v>0</v>
      </c>
      <c r="L127" s="76">
        <f t="shared" si="38"/>
        <v>0</v>
      </c>
      <c r="M127" s="70" t="str">
        <f t="shared" si="39"/>
        <v xml:space="preserve"> PL K Government Duties &amp; Taxes Paid</v>
      </c>
      <c r="N127" s="71" t="str">
        <f t="shared" ref="N127:N130" si="42">IF(M127=0,0,IF(ISBLANK($F127)=FALSE,CONCATENATE(,$C$2," ",$M$2," ",$C127,$E127," ",$F127),0))</f>
        <v xml:space="preserve"> PL K2 Income Tax</v>
      </c>
      <c r="O127" s="78" t="str">
        <f t="shared" ref="O127:O130" si="43">IF(N127=0,0,IF(ISBLANK($F127)=FALSE,CONCATENATE(,$C$2," ",$M$2," ",$C127,$E127,,"-",$G127,," ",$H127),0))</f>
        <v xml:space="preserve"> PL K2-2 Income Tax Expenses</v>
      </c>
      <c r="P127" s="86"/>
    </row>
    <row r="128" spans="1:16">
      <c r="A128" s="49" t="s">
        <v>885</v>
      </c>
      <c r="B128" s="49" t="s">
        <v>886</v>
      </c>
      <c r="C128" s="66" t="s">
        <v>565</v>
      </c>
      <c r="D128" s="66" t="s">
        <v>91</v>
      </c>
      <c r="E128" s="66">
        <v>2</v>
      </c>
      <c r="F128" s="66" t="s">
        <v>61</v>
      </c>
      <c r="G128" s="66">
        <v>3</v>
      </c>
      <c r="H128" s="66" t="s">
        <v>904</v>
      </c>
      <c r="J128" s="74" t="str">
        <f t="shared" si="36"/>
        <v xml:space="preserve"> CF K Government Duties &amp; Taxes Paid</v>
      </c>
      <c r="K128" s="75" t="str">
        <f t="shared" si="37"/>
        <v xml:space="preserve"> CF K2 Income Tax</v>
      </c>
      <c r="L128" s="76" t="str">
        <f t="shared" si="38"/>
        <v xml:space="preserve"> CF K2-3 TDS Paid- Duties and Taxes</v>
      </c>
      <c r="M128" s="70">
        <f t="shared" si="39"/>
        <v>0</v>
      </c>
      <c r="N128" s="71">
        <f t="shared" si="42"/>
        <v>0</v>
      </c>
      <c r="O128" s="78">
        <f t="shared" si="43"/>
        <v>0</v>
      </c>
      <c r="P128" s="86"/>
    </row>
    <row r="129" spans="1:15">
      <c r="A129" s="49" t="s">
        <v>885</v>
      </c>
      <c r="B129" s="49" t="s">
        <v>886</v>
      </c>
      <c r="C129" s="66" t="s">
        <v>565</v>
      </c>
      <c r="D129" s="66" t="s">
        <v>91</v>
      </c>
      <c r="E129" s="66">
        <v>3</v>
      </c>
      <c r="F129" s="66" t="s">
        <v>55</v>
      </c>
      <c r="G129" s="66">
        <v>1</v>
      </c>
      <c r="H129" s="66" t="s">
        <v>55</v>
      </c>
      <c r="I129" s="55" t="s">
        <v>905</v>
      </c>
      <c r="J129" s="74" t="str">
        <f t="shared" si="36"/>
        <v xml:space="preserve"> CF K Government Duties &amp; Taxes Paid</v>
      </c>
      <c r="K129" s="75" t="str">
        <f t="shared" si="37"/>
        <v xml:space="preserve"> CF K3 Customer GST</v>
      </c>
      <c r="L129" s="76" t="str">
        <f t="shared" si="38"/>
        <v xml:space="preserve"> CF K3-1 Customer GST</v>
      </c>
      <c r="M129" s="82">
        <f t="shared" si="39"/>
        <v>0</v>
      </c>
      <c r="N129" s="83">
        <f t="shared" si="42"/>
        <v>0</v>
      </c>
      <c r="O129" s="85">
        <f t="shared" si="43"/>
        <v>0</v>
      </c>
    </row>
    <row r="130" spans="1:15">
      <c r="A130" s="49" t="s">
        <v>885</v>
      </c>
      <c r="B130" s="49" t="s">
        <v>886</v>
      </c>
      <c r="C130" s="66" t="s">
        <v>565</v>
      </c>
      <c r="D130" s="66" t="s">
        <v>91</v>
      </c>
      <c r="E130" s="66">
        <v>4</v>
      </c>
      <c r="F130" s="66" t="s">
        <v>49</v>
      </c>
      <c r="G130" s="66">
        <v>1</v>
      </c>
      <c r="H130" s="66" t="s">
        <v>906</v>
      </c>
      <c r="J130" s="74" t="str">
        <f t="shared" si="36"/>
        <v xml:space="preserve"> CF K Government Duties &amp; Taxes Paid</v>
      </c>
      <c r="K130" s="75" t="str">
        <f t="shared" si="37"/>
        <v xml:space="preserve"> CF K4 Professional Tax</v>
      </c>
      <c r="L130" s="76" t="str">
        <f t="shared" si="38"/>
        <v xml:space="preserve"> CF K4-1 Professional Tax Paid</v>
      </c>
      <c r="M130" s="82">
        <f t="shared" si="39"/>
        <v>0</v>
      </c>
      <c r="N130" s="83">
        <f t="shared" si="42"/>
        <v>0</v>
      </c>
      <c r="O130" s="85">
        <f t="shared" si="43"/>
        <v>0</v>
      </c>
    </row>
    <row r="131" spans="1:15">
      <c r="A131" s="49" t="s">
        <v>885</v>
      </c>
      <c r="B131" s="49" t="s">
        <v>885</v>
      </c>
      <c r="C131" s="66" t="s">
        <v>565</v>
      </c>
      <c r="D131" s="66" t="s">
        <v>945</v>
      </c>
      <c r="E131" s="66">
        <v>1</v>
      </c>
      <c r="F131" s="66" t="s">
        <v>946</v>
      </c>
      <c r="G131" s="66">
        <v>1</v>
      </c>
      <c r="H131" s="66" t="s">
        <v>947</v>
      </c>
      <c r="J131" s="79" t="str">
        <f t="shared" ref="J131:J139" si="44">IF($A131="No",0,IF(ISBLANK($D131)=FALSE,CONCATENATE(,$C$2," ",$J$2," ",$C131," ",$D131),0))</f>
        <v xml:space="preserve"> CF K Common Expenses</v>
      </c>
      <c r="K131" s="80" t="str">
        <f t="shared" ref="K131:K139" si="45">IF($J131=0,0,IF(ISBLANK($F131)=FALSE,CONCATENATE(,$C$2," ",$J$2," ",$C131,$E131," ",$F131),0))</f>
        <v xml:space="preserve"> CF K1 Cleaning</v>
      </c>
      <c r="L131" s="81" t="str">
        <f t="shared" ref="L131:L139" si="46">IF($K131=0,0,IF(ISBLANK($F131)=FALSE,CONCATENATE(,$C$2," ",$J$2," ",$C131,$E131,,"-",$G131,," ",$H131),0))</f>
        <v xml:space="preserve"> CF K1-1 Cleaning Charges</v>
      </c>
      <c r="M131" s="82" t="str">
        <f t="shared" ref="M131:M139" si="47">IF($B131="No",0,IF(ISBLANK($D131)=FALSE,CONCATENATE(,$C$2," ",$M$2," ",$C131," ",$D131),0))</f>
        <v xml:space="preserve"> PL K Common Expenses</v>
      </c>
      <c r="N131" s="83" t="str">
        <f t="shared" ref="N131:N139" si="48">IF(M131=0,0,IF(ISBLANK($F131)=FALSE,CONCATENATE(,$C$2," ",$M$2," ",$C131,$E131," ",$F131),0))</f>
        <v xml:space="preserve"> PL K1 Cleaning</v>
      </c>
      <c r="O131" s="85" t="str">
        <f t="shared" ref="O131:O139" si="49">IF(N131=0,0,IF(ISBLANK($F131)=FALSE,CONCATENATE(,$C$2," ",$M$2," ",$C131,$E131,,"-",$G131,," ",$H131),0))</f>
        <v xml:space="preserve"> PL K1-1 Cleaning Charges</v>
      </c>
    </row>
    <row r="132" spans="1:15">
      <c r="J132" s="79">
        <f t="shared" si="44"/>
        <v>0</v>
      </c>
      <c r="K132" s="80">
        <f t="shared" si="45"/>
        <v>0</v>
      </c>
      <c r="L132" s="81">
        <f t="shared" si="46"/>
        <v>0</v>
      </c>
      <c r="M132" s="82">
        <f t="shared" si="47"/>
        <v>0</v>
      </c>
      <c r="N132" s="83">
        <f t="shared" si="48"/>
        <v>0</v>
      </c>
      <c r="O132" s="85">
        <f t="shared" si="49"/>
        <v>0</v>
      </c>
    </row>
    <row r="133" spans="1:15">
      <c r="J133" s="79">
        <f t="shared" si="44"/>
        <v>0</v>
      </c>
      <c r="K133" s="80">
        <f t="shared" si="45"/>
        <v>0</v>
      </c>
      <c r="L133" s="81">
        <f t="shared" si="46"/>
        <v>0</v>
      </c>
      <c r="M133" s="82">
        <f t="shared" si="47"/>
        <v>0</v>
      </c>
      <c r="N133" s="83">
        <f t="shared" si="48"/>
        <v>0</v>
      </c>
      <c r="O133" s="85">
        <f t="shared" si="49"/>
        <v>0</v>
      </c>
    </row>
    <row r="134" spans="1:15">
      <c r="J134" s="79">
        <f t="shared" si="44"/>
        <v>0</v>
      </c>
      <c r="K134" s="80">
        <f t="shared" si="45"/>
        <v>0</v>
      </c>
      <c r="L134" s="81">
        <f t="shared" si="46"/>
        <v>0</v>
      </c>
      <c r="M134" s="82">
        <f t="shared" si="47"/>
        <v>0</v>
      </c>
      <c r="N134" s="83">
        <f t="shared" si="48"/>
        <v>0</v>
      </c>
      <c r="O134" s="85">
        <f t="shared" si="49"/>
        <v>0</v>
      </c>
    </row>
    <row r="135" spans="1:15">
      <c r="J135" s="79">
        <f t="shared" si="44"/>
        <v>0</v>
      </c>
      <c r="K135" s="80">
        <f t="shared" si="45"/>
        <v>0</v>
      </c>
      <c r="L135" s="81">
        <f t="shared" si="46"/>
        <v>0</v>
      </c>
      <c r="M135" s="82">
        <f t="shared" si="47"/>
        <v>0</v>
      </c>
      <c r="N135" s="83">
        <f t="shared" si="48"/>
        <v>0</v>
      </c>
      <c r="O135" s="85">
        <f t="shared" si="49"/>
        <v>0</v>
      </c>
    </row>
    <row r="136" spans="1:15">
      <c r="J136" s="79">
        <f t="shared" si="44"/>
        <v>0</v>
      </c>
      <c r="K136" s="80">
        <f t="shared" si="45"/>
        <v>0</v>
      </c>
      <c r="L136" s="81">
        <f t="shared" si="46"/>
        <v>0</v>
      </c>
      <c r="M136" s="82">
        <f t="shared" si="47"/>
        <v>0</v>
      </c>
      <c r="N136" s="83">
        <f t="shared" si="48"/>
        <v>0</v>
      </c>
      <c r="O136" s="85">
        <f t="shared" si="49"/>
        <v>0</v>
      </c>
    </row>
    <row r="137" spans="1:15">
      <c r="J137" s="57">
        <f t="shared" si="44"/>
        <v>0</v>
      </c>
      <c r="K137" s="59">
        <f t="shared" si="45"/>
        <v>0</v>
      </c>
      <c r="L137" s="45">
        <f t="shared" si="46"/>
        <v>0</v>
      </c>
      <c r="M137" s="61">
        <f t="shared" si="47"/>
        <v>0</v>
      </c>
      <c r="N137" s="63">
        <f t="shared" si="48"/>
        <v>0</v>
      </c>
      <c r="O137" s="47">
        <f t="shared" si="49"/>
        <v>0</v>
      </c>
    </row>
    <row r="138" spans="1:15">
      <c r="J138" s="57">
        <f t="shared" si="44"/>
        <v>0</v>
      </c>
      <c r="K138" s="59">
        <f t="shared" si="45"/>
        <v>0</v>
      </c>
      <c r="L138" s="45">
        <f t="shared" si="46"/>
        <v>0</v>
      </c>
      <c r="M138" s="61">
        <f t="shared" si="47"/>
        <v>0</v>
      </c>
      <c r="N138" s="63">
        <f t="shared" si="48"/>
        <v>0</v>
      </c>
      <c r="O138" s="47">
        <f t="shared" si="49"/>
        <v>0</v>
      </c>
    </row>
    <row r="139" spans="1:15">
      <c r="J139" s="57">
        <f t="shared" si="44"/>
        <v>0</v>
      </c>
      <c r="K139" s="59">
        <f t="shared" si="45"/>
        <v>0</v>
      </c>
      <c r="L139" s="45">
        <f t="shared" si="46"/>
        <v>0</v>
      </c>
      <c r="M139" s="61">
        <f t="shared" si="47"/>
        <v>0</v>
      </c>
      <c r="N139" s="63">
        <f t="shared" si="48"/>
        <v>0</v>
      </c>
      <c r="O139" s="47">
        <f t="shared" si="49"/>
        <v>0</v>
      </c>
    </row>
  </sheetData>
  <mergeCells count="15">
    <mergeCell ref="J4:J5"/>
    <mergeCell ref="J3:L3"/>
    <mergeCell ref="M3:O3"/>
    <mergeCell ref="J2:L2"/>
    <mergeCell ref="M2:O2"/>
    <mergeCell ref="K4:K5"/>
    <mergeCell ref="L4:L5"/>
    <mergeCell ref="M4:M5"/>
    <mergeCell ref="N4:N5"/>
    <mergeCell ref="O4:O5"/>
    <mergeCell ref="A4:B4"/>
    <mergeCell ref="C4:D4"/>
    <mergeCell ref="E4:F4"/>
    <mergeCell ref="G4:H4"/>
    <mergeCell ref="C3:I3"/>
  </mergeCell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Masters!$B$4:$B$29</xm:f>
          </x14:formula1>
          <xm:sqref>C2</xm:sqref>
        </x14:dataValidation>
        <x14:dataValidation type="list" allowBlank="1" showInputMessage="1" showErrorMessage="1">
          <x14:formula1>
            <xm:f>Masters!$E$4:$E$5</xm:f>
          </x14:formula1>
          <xm:sqref>A6:B131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4"/>
  <sheetViews>
    <sheetView topLeftCell="A226" zoomScale="89" workbookViewId="0">
      <selection activeCell="G248" sqref="G248"/>
    </sheetView>
  </sheetViews>
  <sheetFormatPr defaultRowHeight="13.8"/>
  <cols>
    <col min="1" max="1" width="8.19921875" style="49" bestFit="1" customWidth="1"/>
    <col min="2" max="2" width="12.19921875" style="49" bestFit="1" customWidth="1"/>
    <col min="3" max="3" width="5" style="66" bestFit="1" customWidth="1"/>
    <col min="4" max="4" width="34.19921875" style="66" customWidth="1"/>
    <col min="5" max="5" width="5" style="66" bestFit="1" customWidth="1"/>
    <col min="6" max="6" width="25.796875" style="66" bestFit="1" customWidth="1"/>
    <col min="7" max="7" width="5" style="66" bestFit="1" customWidth="1"/>
    <col min="8" max="8" width="23.796875" style="66" bestFit="1" customWidth="1"/>
    <col min="9" max="9" width="28.5" style="55" bestFit="1" customWidth="1"/>
    <col min="10" max="10" width="51.09765625" style="58" customWidth="1"/>
    <col min="11" max="11" width="55.59765625" style="60" customWidth="1"/>
    <col min="12" max="12" width="53.3984375" style="42" customWidth="1"/>
    <col min="13" max="13" width="52.69921875" style="62" customWidth="1"/>
    <col min="14" max="14" width="39.09765625" style="64" bestFit="1" customWidth="1"/>
    <col min="15" max="15" width="32" style="38" bestFit="1" customWidth="1"/>
  </cols>
  <sheetData>
    <row r="1" spans="1:19">
      <c r="C1" s="36"/>
      <c r="D1" s="37"/>
      <c r="E1" s="37"/>
      <c r="F1" s="37"/>
      <c r="G1" s="37"/>
      <c r="H1" s="37"/>
      <c r="I1" s="53"/>
      <c r="J1" s="39"/>
      <c r="K1" s="40"/>
      <c r="L1" s="41"/>
      <c r="M1" s="43"/>
      <c r="N1" s="44"/>
    </row>
    <row r="2" spans="1:19" ht="16.2" thickBot="1">
      <c r="B2" s="50" t="s">
        <v>874</v>
      </c>
      <c r="C2" s="50" t="s">
        <v>914</v>
      </c>
      <c r="D2" s="35"/>
      <c r="E2" s="35"/>
      <c r="F2" s="35"/>
      <c r="G2" s="35"/>
      <c r="H2" s="35"/>
      <c r="J2" s="155" t="s">
        <v>876</v>
      </c>
      <c r="K2" s="155"/>
      <c r="L2" s="155"/>
      <c r="M2" s="156" t="s">
        <v>880</v>
      </c>
      <c r="N2" s="156"/>
      <c r="O2" s="156"/>
    </row>
    <row r="3" spans="1:19" ht="16.2" thickBot="1">
      <c r="C3" s="144" t="s">
        <v>879</v>
      </c>
      <c r="D3" s="145"/>
      <c r="E3" s="145"/>
      <c r="F3" s="145"/>
      <c r="G3" s="145"/>
      <c r="H3" s="145"/>
      <c r="I3" s="146"/>
      <c r="J3" s="149" t="s">
        <v>878</v>
      </c>
      <c r="K3" s="150"/>
      <c r="L3" s="151"/>
      <c r="M3" s="152" t="s">
        <v>882</v>
      </c>
      <c r="N3" s="153"/>
      <c r="O3" s="154"/>
      <c r="P3" s="34"/>
      <c r="Q3" s="34"/>
      <c r="R3" s="34"/>
      <c r="S3" s="34"/>
    </row>
    <row r="4" spans="1:19" ht="14.4" thickBot="1">
      <c r="A4" s="140" t="s">
        <v>887</v>
      </c>
      <c r="B4" s="141"/>
      <c r="C4" s="142" t="s">
        <v>458</v>
      </c>
      <c r="D4" s="143"/>
      <c r="E4" s="143" t="s">
        <v>449</v>
      </c>
      <c r="F4" s="143"/>
      <c r="G4" s="143" t="s">
        <v>873</v>
      </c>
      <c r="H4" s="143"/>
      <c r="I4" s="48" t="s">
        <v>864</v>
      </c>
      <c r="J4" s="167" t="s">
        <v>458</v>
      </c>
      <c r="K4" s="169" t="s">
        <v>449</v>
      </c>
      <c r="L4" s="171" t="s">
        <v>873</v>
      </c>
      <c r="M4" s="173" t="s">
        <v>458</v>
      </c>
      <c r="N4" s="175" t="s">
        <v>449</v>
      </c>
      <c r="O4" s="177" t="s">
        <v>873</v>
      </c>
    </row>
    <row r="5" spans="1:19" ht="14.4" thickBot="1">
      <c r="A5" s="51" t="s">
        <v>883</v>
      </c>
      <c r="B5" s="52" t="s">
        <v>877</v>
      </c>
      <c r="C5" s="69" t="s">
        <v>881</v>
      </c>
      <c r="D5" s="65" t="s">
        <v>871</v>
      </c>
      <c r="E5" s="65" t="s">
        <v>881</v>
      </c>
      <c r="F5" s="65" t="s">
        <v>871</v>
      </c>
      <c r="G5" s="65" t="s">
        <v>881</v>
      </c>
      <c r="H5" s="65" t="s">
        <v>871</v>
      </c>
      <c r="I5" s="68"/>
      <c r="J5" s="168"/>
      <c r="K5" s="170"/>
      <c r="L5" s="172"/>
      <c r="M5" s="174"/>
      <c r="N5" s="176"/>
      <c r="O5" s="178"/>
    </row>
    <row r="6" spans="1:19">
      <c r="A6" s="49" t="s">
        <v>885</v>
      </c>
      <c r="B6" s="49" t="s">
        <v>885</v>
      </c>
      <c r="C6" s="66" t="s">
        <v>861</v>
      </c>
      <c r="D6" s="66" t="s">
        <v>607</v>
      </c>
      <c r="E6" s="66">
        <v>1</v>
      </c>
      <c r="F6" s="66" t="s">
        <v>606</v>
      </c>
      <c r="G6" s="66">
        <v>1</v>
      </c>
      <c r="H6" s="66" t="s">
        <v>604</v>
      </c>
      <c r="I6" s="55" t="s">
        <v>603</v>
      </c>
      <c r="J6" s="74" t="str">
        <f>IF($A6="No",0,IF(ISBLANK($D6)=FALSE,CONCATENATE(,$C$2," ",$J$2," ",$C6," ",$D6),0))</f>
        <v>CM CF A Marketing Cost</v>
      </c>
      <c r="K6" s="75" t="str">
        <f>IF(J6=0,0,IF(ISBLANK($F6)=FALSE,CONCATENATE(,$C$2," ",$J$2," ",$C6,$E6," ",$F6),0))</f>
        <v>CM CF A1 Digital Marketing</v>
      </c>
      <c r="L6" s="76" t="str">
        <f>IF(K6=0,0,IF(ISBLANK($F6)=FALSE,CONCATENATE(,$C$2," ",$J$2," ",$C6,$E6,,"-",$G6,," ",$H6),0))</f>
        <v>CM CF A1-1 Google Ads</v>
      </c>
      <c r="M6" s="70" t="str">
        <f>IF($B6="No",0,IF(ISBLANK($D6)=FALSE,CONCATENATE(,$C$2," ",$M$2," ",$C6," ",$D6),0))</f>
        <v>CM PL A Marketing Cost</v>
      </c>
      <c r="N6" s="71" t="str">
        <f>IF(M6=0,0,IF(ISBLANK($F6)=FALSE,CONCATENATE(,$C$2," ",$M$2," ",$C6,$E6," ",$F6),0))</f>
        <v>CM PL A1 Digital Marketing</v>
      </c>
      <c r="O6" s="72" t="str">
        <f>IF(N6=0,0,IF(ISBLANK($F6)=FALSE,CONCATENATE(,$C$2," ",$M$2," ",$C6,$E6,,"-",$G6,," ",$H6),0))</f>
        <v>CM PL A1-1 Google Ads</v>
      </c>
    </row>
    <row r="7" spans="1:19">
      <c r="A7" s="49" t="s">
        <v>885</v>
      </c>
      <c r="B7" s="49" t="s">
        <v>885</v>
      </c>
      <c r="C7" s="66" t="s">
        <v>861</v>
      </c>
      <c r="D7" s="66" t="s">
        <v>607</v>
      </c>
      <c r="E7" s="66">
        <v>1</v>
      </c>
      <c r="F7" s="66" t="s">
        <v>606</v>
      </c>
      <c r="G7" s="66">
        <v>2</v>
      </c>
      <c r="H7" s="66" t="s">
        <v>601</v>
      </c>
      <c r="I7" s="55" t="s">
        <v>600</v>
      </c>
      <c r="J7" s="74" t="str">
        <f>IF($A7="No",0,IF(ISBLANK($D7)=FALSE,CONCATENATE(,$C$2," ",$J$2," ",$C7," ",$D7),0))</f>
        <v>CM CF A Marketing Cost</v>
      </c>
      <c r="K7" s="75" t="str">
        <f>IF(J7=0,0,IF(ISBLANK($F7)=FALSE,CONCATENATE(,$C$2," ",$J$2," ",$C7,$E7," ",$F7),0))</f>
        <v>CM CF A1 Digital Marketing</v>
      </c>
      <c r="L7" s="76" t="str">
        <f>IF(K7=0,0,IF(ISBLANK($F7)=FALSE,CONCATENATE(,$C$2," ",$J$2," ",$C7,$E7,,"-",$G7,," ",$H7),0))</f>
        <v>CM CF A1-2 Facebook Ads</v>
      </c>
      <c r="M7" s="70" t="str">
        <f>IF($B7="No",0,IF(ISBLANK($D7)=FALSE,CONCATENATE(,$C$2," ",$M$2," ",$C7," ",$D7),0))</f>
        <v>CM PL A Marketing Cost</v>
      </c>
      <c r="N7" s="71" t="str">
        <f>IF(M7=0,0,IF(ISBLANK($F7)=FALSE,CONCATENATE(,$C$2," ",$M$2," ",$C7,$E7," ",$F7),0))</f>
        <v>CM PL A1 Digital Marketing</v>
      </c>
      <c r="O7" s="72" t="str">
        <f>IF(N7=0,0,IF(ISBLANK($F7)=FALSE,CONCATENATE(,$C$2," ",$M$2," ",$C7,$E7,,"-",$G7,," ",$H7),0))</f>
        <v>CM PL A1-2 Facebook Ads</v>
      </c>
    </row>
    <row r="8" spans="1:19">
      <c r="A8" s="49" t="s">
        <v>885</v>
      </c>
      <c r="B8" s="49" t="s">
        <v>885</v>
      </c>
      <c r="C8" s="66" t="s">
        <v>861</v>
      </c>
      <c r="D8" s="66" t="s">
        <v>607</v>
      </c>
      <c r="E8" s="66">
        <v>1</v>
      </c>
      <c r="F8" s="66" t="s">
        <v>606</v>
      </c>
      <c r="G8" s="66">
        <v>3</v>
      </c>
      <c r="H8" s="66" t="s">
        <v>598</v>
      </c>
      <c r="I8" s="55" t="s">
        <v>597</v>
      </c>
      <c r="J8" s="74" t="str">
        <f>IF($A8="No",0,IF(ISBLANK($D8)=FALSE,CONCATENATE(,$C$2," ",$J$2," ",$C8," ",$D8),0))</f>
        <v>CM CF A Marketing Cost</v>
      </c>
      <c r="K8" s="75" t="str">
        <f>IF(J8=0,0,IF(ISBLANK($F8)=FALSE,CONCATENATE(,$C$2," ",$J$2," ",$C8,$E8," ",$F8),0))</f>
        <v>CM CF A1 Digital Marketing</v>
      </c>
      <c r="L8" s="76" t="str">
        <f>IF(K8=0,0,IF(ISBLANK($F8)=FALSE,CONCATENATE(,$C$2," ",$J$2," ",$C8,$E8,,"-",$G8,," ",$H8),0))</f>
        <v>CM CF A1-3 Shoot</v>
      </c>
      <c r="M8" s="70" t="str">
        <f>IF($B8="No",0,IF(ISBLANK($D8)=FALSE,CONCATENATE(,$C$2," ",$M$2," ",$C8," ",$D8),0))</f>
        <v>CM PL A Marketing Cost</v>
      </c>
      <c r="N8" s="71" t="str">
        <f>IF(M8=0,0,IF(ISBLANK($F8)=FALSE,CONCATENATE(,$C$2," ",$M$2," ",$C8,$E8," ",$F8),0))</f>
        <v>CM PL A1 Digital Marketing</v>
      </c>
      <c r="O8" s="72" t="str">
        <f>IF(N8=0,0,IF(ISBLANK($F8)=FALSE,CONCATENATE(,$C$2," ",$M$2," ",$C8,$E8,,"-",$G8,," ",$H8),0))</f>
        <v>CM PL A1-3 Shoot</v>
      </c>
    </row>
    <row r="9" spans="1:19">
      <c r="A9" s="49" t="s">
        <v>885</v>
      </c>
      <c r="B9" s="49" t="s">
        <v>885</v>
      </c>
      <c r="C9" s="66" t="s">
        <v>861</v>
      </c>
      <c r="D9" s="66" t="s">
        <v>607</v>
      </c>
      <c r="E9" s="66">
        <v>1</v>
      </c>
      <c r="F9" s="66" t="s">
        <v>606</v>
      </c>
      <c r="G9" s="66">
        <v>4</v>
      </c>
      <c r="H9" s="66" t="s">
        <v>594</v>
      </c>
      <c r="J9" s="74" t="str">
        <f>IF($A9="No",0,IF(ISBLANK($D9)=FALSE,CONCATENATE(,$C$2," ",$J$2," ",$C9," ",$D9),0))</f>
        <v>CM CF A Marketing Cost</v>
      </c>
      <c r="K9" s="75" t="str">
        <f>IF($J9=0,0,IF(ISBLANK($F9)=FALSE,CONCATENATE(,$C$2," ",$J$2," ",$C9,$E9," ",$F9),0))</f>
        <v>CM CF A1 Digital Marketing</v>
      </c>
      <c r="L9" s="76" t="str">
        <f>IF($K9=0,0,IF(ISBLANK($F9)=FALSE,CONCATENATE(,$C$2," ",$J$2," ",$C9,$E9,,"-",$G9,," ",$H9),0))</f>
        <v xml:space="preserve">CM CF A1-4 Advertisement </v>
      </c>
      <c r="M9" s="70" t="str">
        <f>IF($B9="No",0,IF(ISBLANK($D9)=FALSE,CONCATENATE(,$C$2," ",$M$2," ",$C9," ",$D9),0))</f>
        <v>CM PL A Marketing Cost</v>
      </c>
      <c r="N9" s="71" t="str">
        <f>IF(M9=0,0,IF(ISBLANK($F9)=FALSE,CONCATENATE(,$C$2," ",$M$2," ",$C9,$E9," ",$F9),0))</f>
        <v>CM PL A1 Digital Marketing</v>
      </c>
      <c r="O9" s="72" t="str">
        <f>IF(N9=0,0,IF(ISBLANK($F9)=FALSE,CONCATENATE(,$C$2," ",$M$2," ",$C9,$E9,,"-",$G9,," ",$H9),0))</f>
        <v xml:space="preserve">CM PL A1-4 Advertisement </v>
      </c>
    </row>
    <row r="10" spans="1:19">
      <c r="A10" s="49" t="s">
        <v>885</v>
      </c>
      <c r="B10" s="49" t="s">
        <v>885</v>
      </c>
      <c r="C10" s="66" t="s">
        <v>861</v>
      </c>
      <c r="D10" s="66" t="s">
        <v>607</v>
      </c>
      <c r="E10" s="66">
        <v>2</v>
      </c>
      <c r="F10" s="66" t="s">
        <v>593</v>
      </c>
      <c r="G10" s="66">
        <v>1</v>
      </c>
      <c r="H10" s="66" t="s">
        <v>591</v>
      </c>
      <c r="I10" s="55" t="s">
        <v>590</v>
      </c>
      <c r="J10" s="74" t="str">
        <f t="shared" ref="J10:J206" si="0">IF($A10="No",0,IF(ISBLANK($D10)=FALSE,CONCATENATE(,$C$2," ",$J$2," ",$C10," ",$D10),0))</f>
        <v>CM CF A Marketing Cost</v>
      </c>
      <c r="K10" s="75" t="str">
        <f t="shared" ref="K10:K206" si="1">IF($J10=0,0,IF(ISBLANK($F10)=FALSE,CONCATENATE(,$C$2," ",$J$2," ",$C10,$E10," ",$F10),0))</f>
        <v>CM CF A2 Outdoor Marketing</v>
      </c>
      <c r="L10" s="76" t="str">
        <f t="shared" ref="L10:L206" si="2">IF($K10=0,0,IF(ISBLANK($F10)=FALSE,CONCATENATE(,$C$2," ",$J$2," ",$C10,$E10,,"-",$G10,," ",$H10),0))</f>
        <v>CM CF A2-1 Hoardings</v>
      </c>
      <c r="M10" s="70" t="str">
        <f t="shared" ref="M10:M206" si="3">IF($B10="No",0,IF(ISBLANK($D10)=FALSE,CONCATENATE(,$C$2," ",$M$2," ",$C10," ",$D10),0))</f>
        <v>CM PL A Marketing Cost</v>
      </c>
      <c r="N10" s="71" t="str">
        <f t="shared" ref="N10:N206" si="4">IF(M10=0,0,IF(ISBLANK($F10)=FALSE,CONCATENATE(,$C$2," ",$M$2," ",$C10,$E10," ",$F10),0))</f>
        <v>CM PL A2 Outdoor Marketing</v>
      </c>
      <c r="O10" s="72" t="str">
        <f t="shared" ref="O10:O206" si="5">IF(N10=0,0,IF(ISBLANK($F10)=FALSE,CONCATENATE(,$C$2," ",$M$2," ",$C10,$E10,,"-",$G10,," ",$H10),0))</f>
        <v>CM PL A2-1 Hoardings</v>
      </c>
    </row>
    <row r="11" spans="1:19">
      <c r="A11" s="49" t="s">
        <v>885</v>
      </c>
      <c r="B11" s="49" t="s">
        <v>885</v>
      </c>
      <c r="C11" s="66" t="s">
        <v>861</v>
      </c>
      <c r="D11" s="66" t="s">
        <v>607</v>
      </c>
      <c r="E11" s="66">
        <v>2</v>
      </c>
      <c r="F11" s="66" t="s">
        <v>593</v>
      </c>
      <c r="G11" s="66">
        <v>2</v>
      </c>
      <c r="H11" s="66" t="s">
        <v>587</v>
      </c>
      <c r="J11" s="74" t="str">
        <f t="shared" si="0"/>
        <v>CM CF A Marketing Cost</v>
      </c>
      <c r="K11" s="75" t="str">
        <f t="shared" si="1"/>
        <v>CM CF A2 Outdoor Marketing</v>
      </c>
      <c r="L11" s="76" t="str">
        <f t="shared" si="2"/>
        <v>CM CF A2-2 Other Marketing expenses</v>
      </c>
      <c r="M11" s="70" t="str">
        <f t="shared" si="3"/>
        <v>CM PL A Marketing Cost</v>
      </c>
      <c r="N11" s="71" t="str">
        <f t="shared" si="4"/>
        <v>CM PL A2 Outdoor Marketing</v>
      </c>
      <c r="O11" s="72" t="str">
        <f t="shared" si="5"/>
        <v>CM PL A2-2 Other Marketing expenses</v>
      </c>
    </row>
    <row r="12" spans="1:19">
      <c r="A12" s="49" t="s">
        <v>885</v>
      </c>
      <c r="B12" s="49" t="s">
        <v>885</v>
      </c>
      <c r="C12" s="66" t="s">
        <v>861</v>
      </c>
      <c r="D12" s="66" t="s">
        <v>607</v>
      </c>
      <c r="E12" s="66">
        <v>3</v>
      </c>
      <c r="F12" s="66" t="s">
        <v>585</v>
      </c>
      <c r="G12" s="66">
        <v>1</v>
      </c>
      <c r="H12" s="66" t="s">
        <v>583</v>
      </c>
      <c r="I12" s="55" t="s">
        <v>582</v>
      </c>
      <c r="J12" s="74" t="str">
        <f>IF($A12="No",0,IF(ISBLANK($D12)=FALSE,CONCATENATE(,$C$2," ",$J$2," ",$C12," ",$D12),0))</f>
        <v>CM CF A Marketing Cost</v>
      </c>
      <c r="K12" s="75" t="str">
        <f t="shared" si="1"/>
        <v>CM CF A3 Channel Partner Commission</v>
      </c>
      <c r="L12" s="76" t="str">
        <f t="shared" si="2"/>
        <v>CM CF A3-1 Broker Commission</v>
      </c>
      <c r="M12" s="70" t="str">
        <f t="shared" si="3"/>
        <v>CM PL A Marketing Cost</v>
      </c>
      <c r="N12" s="71" t="str">
        <f t="shared" si="4"/>
        <v>CM PL A3 Channel Partner Commission</v>
      </c>
      <c r="O12" s="72" t="str">
        <f t="shared" si="5"/>
        <v>CM PL A3-1 Broker Commission</v>
      </c>
    </row>
    <row r="13" spans="1:19">
      <c r="A13" s="49" t="s">
        <v>885</v>
      </c>
      <c r="B13" s="49" t="s">
        <v>885</v>
      </c>
      <c r="C13" s="66" t="s">
        <v>861</v>
      </c>
      <c r="D13" s="66" t="s">
        <v>607</v>
      </c>
      <c r="E13" s="66">
        <v>4</v>
      </c>
      <c r="F13" s="66" t="s">
        <v>580</v>
      </c>
      <c r="G13" s="66">
        <v>1</v>
      </c>
      <c r="H13" s="66" t="s">
        <v>578</v>
      </c>
      <c r="J13" s="74" t="str">
        <f t="shared" si="0"/>
        <v>CM CF A Marketing Cost</v>
      </c>
      <c r="K13" s="75" t="str">
        <f t="shared" si="1"/>
        <v>CM CF A4 Radio</v>
      </c>
      <c r="L13" s="76" t="str">
        <f t="shared" si="2"/>
        <v>CM CF A4-1 Radio Ads</v>
      </c>
      <c r="M13" s="70" t="str">
        <f t="shared" si="3"/>
        <v>CM PL A Marketing Cost</v>
      </c>
      <c r="N13" s="71" t="str">
        <f t="shared" si="4"/>
        <v>CM PL A4 Radio</v>
      </c>
      <c r="O13" s="72" t="str">
        <f t="shared" si="5"/>
        <v>CM PL A4-1 Radio Ads</v>
      </c>
    </row>
    <row r="14" spans="1:19">
      <c r="A14" s="49" t="s">
        <v>885</v>
      </c>
      <c r="B14" s="49" t="s">
        <v>885</v>
      </c>
      <c r="C14" s="66" t="s">
        <v>861</v>
      </c>
      <c r="D14" s="66" t="s">
        <v>607</v>
      </c>
      <c r="E14" s="66">
        <v>5</v>
      </c>
      <c r="F14" s="66" t="s">
        <v>576</v>
      </c>
      <c r="G14" s="66">
        <v>1</v>
      </c>
      <c r="H14" s="66" t="s">
        <v>574</v>
      </c>
      <c r="J14" s="74" t="str">
        <f t="shared" si="0"/>
        <v>CM CF A Marketing Cost</v>
      </c>
      <c r="K14" s="75" t="str">
        <f t="shared" si="1"/>
        <v>CM CF A5 Print</v>
      </c>
      <c r="L14" s="76" t="str">
        <f t="shared" si="2"/>
        <v>CM CF A5-1 Print Ads</v>
      </c>
      <c r="M14" s="70" t="str">
        <f t="shared" si="3"/>
        <v>CM PL A Marketing Cost</v>
      </c>
      <c r="N14" s="71" t="str">
        <f t="shared" si="4"/>
        <v>CM PL A5 Print</v>
      </c>
      <c r="O14" s="72" t="str">
        <f t="shared" si="5"/>
        <v>CM PL A5-1 Print Ads</v>
      </c>
    </row>
    <row r="15" spans="1:19">
      <c r="A15" s="49" t="s">
        <v>885</v>
      </c>
      <c r="B15" s="49" t="s">
        <v>885</v>
      </c>
      <c r="C15" s="66" t="s">
        <v>861</v>
      </c>
      <c r="D15" s="66" t="s">
        <v>607</v>
      </c>
      <c r="E15" s="66">
        <v>6</v>
      </c>
      <c r="F15" s="66" t="s">
        <v>573</v>
      </c>
      <c r="G15" s="66">
        <v>1</v>
      </c>
      <c r="H15" s="66" t="s">
        <v>571</v>
      </c>
      <c r="I15" s="55" t="s">
        <v>553</v>
      </c>
      <c r="J15" s="74" t="str">
        <f t="shared" si="0"/>
        <v>CM CF A Marketing Cost</v>
      </c>
      <c r="K15" s="75" t="str">
        <f t="shared" si="1"/>
        <v>CM CF A6 Site Branding</v>
      </c>
      <c r="L15" s="76" t="str">
        <f t="shared" si="2"/>
        <v>CM CF A6-1 Site Branding Cost</v>
      </c>
      <c r="M15" s="70" t="str">
        <f t="shared" si="3"/>
        <v>CM PL A Marketing Cost</v>
      </c>
      <c r="N15" s="71" t="str">
        <f t="shared" si="4"/>
        <v>CM PL A6 Site Branding</v>
      </c>
      <c r="O15" s="72" t="str">
        <f t="shared" si="5"/>
        <v>CM PL A6-1 Site Branding Cost</v>
      </c>
    </row>
    <row r="16" spans="1:19">
      <c r="A16" s="49" t="s">
        <v>885</v>
      </c>
      <c r="B16" s="49" t="s">
        <v>885</v>
      </c>
      <c r="C16" s="66" t="s">
        <v>861</v>
      </c>
      <c r="D16" s="66" t="s">
        <v>607</v>
      </c>
      <c r="E16" s="66">
        <v>6</v>
      </c>
      <c r="F16" s="66" t="s">
        <v>573</v>
      </c>
      <c r="G16" s="66">
        <v>2</v>
      </c>
      <c r="H16" s="66" t="s">
        <v>569</v>
      </c>
      <c r="J16" s="74" t="str">
        <f t="shared" si="0"/>
        <v>CM CF A Marketing Cost</v>
      </c>
      <c r="K16" s="75" t="str">
        <f t="shared" si="1"/>
        <v>CM CF A6 Site Branding</v>
      </c>
      <c r="L16" s="76" t="str">
        <f t="shared" si="2"/>
        <v>CM CF A6-2 Function and Festival Expenses</v>
      </c>
      <c r="M16" s="70" t="str">
        <f t="shared" si="3"/>
        <v>CM PL A Marketing Cost</v>
      </c>
      <c r="N16" s="71" t="str">
        <f t="shared" si="4"/>
        <v>CM PL A6 Site Branding</v>
      </c>
      <c r="O16" s="72" t="str">
        <f t="shared" si="5"/>
        <v>CM PL A6-2 Function and Festival Expenses</v>
      </c>
    </row>
    <row r="17" spans="1:15">
      <c r="A17" s="49" t="s">
        <v>885</v>
      </c>
      <c r="B17" s="49" t="s">
        <v>885</v>
      </c>
      <c r="C17" s="66" t="s">
        <v>861</v>
      </c>
      <c r="D17" s="66" t="s">
        <v>607</v>
      </c>
      <c r="E17" s="66">
        <v>6</v>
      </c>
      <c r="F17" s="66" t="s">
        <v>573</v>
      </c>
      <c r="G17" s="66">
        <v>3</v>
      </c>
      <c r="H17" s="66" t="s">
        <v>566</v>
      </c>
      <c r="J17" s="74" t="str">
        <f t="shared" si="0"/>
        <v>CM CF A Marketing Cost</v>
      </c>
      <c r="K17" s="75" t="str">
        <f t="shared" si="1"/>
        <v>CM CF A6 Site Branding</v>
      </c>
      <c r="L17" s="76" t="str">
        <f t="shared" si="2"/>
        <v>CM CF A6-3 Social Media Influencer</v>
      </c>
      <c r="M17" s="70" t="str">
        <f t="shared" si="3"/>
        <v>CM PL A Marketing Cost</v>
      </c>
      <c r="N17" s="71" t="str">
        <f t="shared" si="4"/>
        <v>CM PL A6 Site Branding</v>
      </c>
      <c r="O17" s="72" t="str">
        <f t="shared" si="5"/>
        <v>CM PL A6-3 Social Media Influencer</v>
      </c>
    </row>
    <row r="18" spans="1:15">
      <c r="A18" s="49" t="s">
        <v>885</v>
      </c>
      <c r="B18" s="49" t="s">
        <v>885</v>
      </c>
      <c r="C18" s="66" t="s">
        <v>844</v>
      </c>
      <c r="D18" s="66" t="s">
        <v>369</v>
      </c>
      <c r="E18" s="66">
        <v>1</v>
      </c>
      <c r="F18" s="66" t="s">
        <v>309</v>
      </c>
      <c r="G18" s="66">
        <v>1</v>
      </c>
      <c r="H18" s="66" t="s">
        <v>307</v>
      </c>
      <c r="I18" s="55" t="s">
        <v>306</v>
      </c>
      <c r="J18" s="74" t="str">
        <f t="shared" si="0"/>
        <v>CM CF B Show Flat</v>
      </c>
      <c r="K18" s="75" t="str">
        <f t="shared" si="1"/>
        <v>CM CF B1 RCC Structure</v>
      </c>
      <c r="L18" s="76" t="str">
        <f t="shared" si="2"/>
        <v>CM CF B1-1 Steel</v>
      </c>
      <c r="M18" s="70" t="str">
        <f t="shared" si="3"/>
        <v>CM PL B Show Flat</v>
      </c>
      <c r="N18" s="71" t="str">
        <f t="shared" si="4"/>
        <v>CM PL B1 RCC Structure</v>
      </c>
      <c r="O18" s="72" t="str">
        <f t="shared" si="5"/>
        <v>CM PL B1-1 Steel</v>
      </c>
    </row>
    <row r="19" spans="1:15">
      <c r="A19" s="49" t="s">
        <v>885</v>
      </c>
      <c r="B19" s="49" t="s">
        <v>885</v>
      </c>
      <c r="C19" s="66" t="s">
        <v>844</v>
      </c>
      <c r="D19" s="66" t="s">
        <v>369</v>
      </c>
      <c r="E19" s="66">
        <v>1</v>
      </c>
      <c r="F19" s="66" t="s">
        <v>309</v>
      </c>
      <c r="G19" s="66">
        <v>2</v>
      </c>
      <c r="H19" s="66" t="s">
        <v>304</v>
      </c>
      <c r="I19" s="55" t="s">
        <v>303</v>
      </c>
      <c r="J19" s="74" t="str">
        <f t="shared" si="0"/>
        <v>CM CF B Show Flat</v>
      </c>
      <c r="K19" s="75" t="str">
        <f t="shared" si="1"/>
        <v>CM CF B1 RCC Structure</v>
      </c>
      <c r="L19" s="76" t="str">
        <f t="shared" si="2"/>
        <v>CM CF B1-2 Cement</v>
      </c>
      <c r="M19" s="70" t="str">
        <f t="shared" si="3"/>
        <v>CM PL B Show Flat</v>
      </c>
      <c r="N19" s="71" t="str">
        <f t="shared" si="4"/>
        <v>CM PL B1 RCC Structure</v>
      </c>
      <c r="O19" s="72" t="str">
        <f t="shared" si="5"/>
        <v>CM PL B1-2 Cement</v>
      </c>
    </row>
    <row r="20" spans="1:15">
      <c r="A20" s="49" t="s">
        <v>885</v>
      </c>
      <c r="B20" s="49" t="s">
        <v>885</v>
      </c>
      <c r="C20" s="66" t="s">
        <v>844</v>
      </c>
      <c r="D20" s="66" t="s">
        <v>369</v>
      </c>
      <c r="E20" s="66">
        <v>1</v>
      </c>
      <c r="F20" s="66" t="s">
        <v>309</v>
      </c>
      <c r="G20" s="66">
        <v>3</v>
      </c>
      <c r="H20" s="66" t="s">
        <v>301</v>
      </c>
      <c r="I20" s="55" t="s">
        <v>300</v>
      </c>
      <c r="J20" s="74" t="str">
        <f t="shared" si="0"/>
        <v>CM CF B Show Flat</v>
      </c>
      <c r="K20" s="75" t="str">
        <f t="shared" si="1"/>
        <v>CM CF B1 RCC Structure</v>
      </c>
      <c r="L20" s="76" t="str">
        <f t="shared" si="2"/>
        <v>CM CF B1-3 Sand</v>
      </c>
      <c r="M20" s="70" t="str">
        <f t="shared" si="3"/>
        <v>CM PL B Show Flat</v>
      </c>
      <c r="N20" s="71" t="str">
        <f t="shared" si="4"/>
        <v>CM PL B1 RCC Structure</v>
      </c>
      <c r="O20" s="72" t="str">
        <f t="shared" si="5"/>
        <v>CM PL B1-3 Sand</v>
      </c>
    </row>
    <row r="21" spans="1:15">
      <c r="A21" s="49" t="s">
        <v>885</v>
      </c>
      <c r="B21" s="49" t="s">
        <v>885</v>
      </c>
      <c r="C21" s="66" t="s">
        <v>844</v>
      </c>
      <c r="D21" s="66" t="s">
        <v>369</v>
      </c>
      <c r="E21" s="66">
        <v>1</v>
      </c>
      <c r="F21" s="66" t="s">
        <v>309</v>
      </c>
      <c r="G21" s="66">
        <v>4</v>
      </c>
      <c r="H21" s="66" t="s">
        <v>298</v>
      </c>
      <c r="I21" s="55" t="s">
        <v>297</v>
      </c>
      <c r="J21" s="74" t="str">
        <f t="shared" si="0"/>
        <v>CM CF B Show Flat</v>
      </c>
      <c r="K21" s="75" t="str">
        <f t="shared" si="1"/>
        <v>CM CF B1 RCC Structure</v>
      </c>
      <c r="L21" s="76" t="str">
        <f t="shared" si="2"/>
        <v>CM CF B1-4 Aggregate</v>
      </c>
      <c r="M21" s="70" t="str">
        <f t="shared" si="3"/>
        <v>CM PL B Show Flat</v>
      </c>
      <c r="N21" s="71" t="str">
        <f t="shared" si="4"/>
        <v>CM PL B1 RCC Structure</v>
      </c>
      <c r="O21" s="72" t="str">
        <f t="shared" si="5"/>
        <v>CM PL B1-4 Aggregate</v>
      </c>
    </row>
    <row r="22" spans="1:15">
      <c r="A22" s="49" t="s">
        <v>885</v>
      </c>
      <c r="B22" s="49" t="s">
        <v>885</v>
      </c>
      <c r="C22" s="66" t="s">
        <v>844</v>
      </c>
      <c r="D22" s="66" t="s">
        <v>369</v>
      </c>
      <c r="E22" s="66">
        <v>1</v>
      </c>
      <c r="F22" s="66" t="s">
        <v>309</v>
      </c>
      <c r="G22" s="66">
        <v>5</v>
      </c>
      <c r="H22" s="66" t="s">
        <v>295</v>
      </c>
      <c r="I22" s="55" t="s">
        <v>294</v>
      </c>
      <c r="J22" s="74" t="str">
        <f t="shared" si="0"/>
        <v>CM CF B Show Flat</v>
      </c>
      <c r="K22" s="75" t="str">
        <f t="shared" si="1"/>
        <v>CM CF B1 RCC Structure</v>
      </c>
      <c r="L22" s="76" t="str">
        <f t="shared" si="2"/>
        <v>CM CF B1-5 RCC Labour</v>
      </c>
      <c r="M22" s="70" t="str">
        <f t="shared" si="3"/>
        <v>CM PL B Show Flat</v>
      </c>
      <c r="N22" s="71" t="str">
        <f t="shared" si="4"/>
        <v>CM PL B1 RCC Structure</v>
      </c>
      <c r="O22" s="72" t="str">
        <f t="shared" si="5"/>
        <v>CM PL B1-5 RCC Labour</v>
      </c>
    </row>
    <row r="23" spans="1:15">
      <c r="A23" s="49" t="s">
        <v>885</v>
      </c>
      <c r="B23" s="49" t="s">
        <v>885</v>
      </c>
      <c r="C23" s="66" t="s">
        <v>844</v>
      </c>
      <c r="D23" s="66" t="s">
        <v>369</v>
      </c>
      <c r="E23" s="66">
        <v>1</v>
      </c>
      <c r="F23" s="66" t="s">
        <v>309</v>
      </c>
      <c r="G23" s="66">
        <v>6</v>
      </c>
      <c r="H23" s="66" t="s">
        <v>292</v>
      </c>
      <c r="I23" s="55" t="s">
        <v>291</v>
      </c>
      <c r="J23" s="74" t="str">
        <f t="shared" si="0"/>
        <v>CM CF B Show Flat</v>
      </c>
      <c r="K23" s="75" t="str">
        <f t="shared" si="1"/>
        <v>CM CF B1 RCC Structure</v>
      </c>
      <c r="L23" s="76" t="str">
        <f t="shared" si="2"/>
        <v>CM CF B1-6 Shuttering</v>
      </c>
      <c r="M23" s="70" t="str">
        <f t="shared" si="3"/>
        <v>CM PL B Show Flat</v>
      </c>
      <c r="N23" s="71" t="str">
        <f t="shared" si="4"/>
        <v>CM PL B1 RCC Structure</v>
      </c>
      <c r="O23" s="72" t="str">
        <f t="shared" si="5"/>
        <v>CM PL B1-6 Shuttering</v>
      </c>
    </row>
    <row r="24" spans="1:15">
      <c r="A24" s="49" t="s">
        <v>885</v>
      </c>
      <c r="B24" s="49" t="s">
        <v>885</v>
      </c>
      <c r="C24" s="66" t="s">
        <v>844</v>
      </c>
      <c r="D24" s="66" t="s">
        <v>369</v>
      </c>
      <c r="E24" s="66">
        <v>1</v>
      </c>
      <c r="F24" s="66" t="s">
        <v>309</v>
      </c>
      <c r="G24" s="66">
        <v>7</v>
      </c>
      <c r="H24" s="66" t="s">
        <v>288</v>
      </c>
      <c r="I24" s="55" t="s">
        <v>287</v>
      </c>
      <c r="J24" s="74" t="str">
        <f t="shared" si="0"/>
        <v>CM CF B Show Flat</v>
      </c>
      <c r="K24" s="75" t="str">
        <f t="shared" si="1"/>
        <v>CM CF B1 RCC Structure</v>
      </c>
      <c r="L24" s="76" t="str">
        <f t="shared" si="2"/>
        <v>CM CF B1-7 Concrete Pump</v>
      </c>
      <c r="M24" s="70" t="str">
        <f t="shared" si="3"/>
        <v>CM PL B Show Flat</v>
      </c>
      <c r="N24" s="71" t="str">
        <f t="shared" si="4"/>
        <v>CM PL B1 RCC Structure</v>
      </c>
      <c r="O24" s="72" t="str">
        <f t="shared" si="5"/>
        <v>CM PL B1-7 Concrete Pump</v>
      </c>
    </row>
    <row r="25" spans="1:15">
      <c r="A25" s="49" t="s">
        <v>885</v>
      </c>
      <c r="B25" s="49" t="s">
        <v>885</v>
      </c>
      <c r="C25" s="66" t="s">
        <v>844</v>
      </c>
      <c r="D25" s="66" t="s">
        <v>369</v>
      </c>
      <c r="E25" s="66">
        <v>2</v>
      </c>
      <c r="F25" s="66" t="s">
        <v>286</v>
      </c>
      <c r="G25" s="66">
        <v>1</v>
      </c>
      <c r="H25" s="66" t="s">
        <v>284</v>
      </c>
      <c r="I25" s="55" t="s">
        <v>283</v>
      </c>
      <c r="J25" s="74" t="str">
        <f t="shared" si="0"/>
        <v>CM CF B Show Flat</v>
      </c>
      <c r="K25" s="75" t="str">
        <f t="shared" si="1"/>
        <v>CM CF B2 Brickwork</v>
      </c>
      <c r="L25" s="76" t="str">
        <f t="shared" si="2"/>
        <v>CM CF B2-1 Bricks/Blocks</v>
      </c>
      <c r="M25" s="70" t="str">
        <f t="shared" si="3"/>
        <v>CM PL B Show Flat</v>
      </c>
      <c r="N25" s="71" t="str">
        <f t="shared" si="4"/>
        <v>CM PL B2 Brickwork</v>
      </c>
      <c r="O25" s="72" t="str">
        <f t="shared" si="5"/>
        <v>CM PL B2-1 Bricks/Blocks</v>
      </c>
    </row>
    <row r="26" spans="1:15">
      <c r="A26" s="49" t="s">
        <v>885</v>
      </c>
      <c r="B26" s="49" t="s">
        <v>885</v>
      </c>
      <c r="C26" s="66" t="s">
        <v>844</v>
      </c>
      <c r="D26" s="66" t="s">
        <v>369</v>
      </c>
      <c r="E26" s="66">
        <v>2</v>
      </c>
      <c r="F26" s="66" t="s">
        <v>286</v>
      </c>
      <c r="G26" s="66">
        <v>2</v>
      </c>
      <c r="H26" s="66" t="s">
        <v>281</v>
      </c>
      <c r="I26" s="55" t="s">
        <v>280</v>
      </c>
      <c r="J26" s="74" t="str">
        <f t="shared" si="0"/>
        <v>CM CF B Show Flat</v>
      </c>
      <c r="K26" s="75" t="str">
        <f t="shared" si="1"/>
        <v>CM CF B2 Brickwork</v>
      </c>
      <c r="L26" s="76" t="str">
        <f t="shared" si="2"/>
        <v>CM CF B2-2 Mortar</v>
      </c>
      <c r="M26" s="70" t="str">
        <f t="shared" si="3"/>
        <v>CM PL B Show Flat</v>
      </c>
      <c r="N26" s="71" t="str">
        <f t="shared" si="4"/>
        <v>CM PL B2 Brickwork</v>
      </c>
      <c r="O26" s="72" t="str">
        <f t="shared" si="5"/>
        <v>CM PL B2-2 Mortar</v>
      </c>
    </row>
    <row r="27" spans="1:15">
      <c r="A27" s="49" t="s">
        <v>885</v>
      </c>
      <c r="B27" s="49" t="s">
        <v>885</v>
      </c>
      <c r="C27" s="66" t="s">
        <v>844</v>
      </c>
      <c r="D27" s="66" t="s">
        <v>369</v>
      </c>
      <c r="E27" s="66">
        <v>2</v>
      </c>
      <c r="F27" s="66" t="s">
        <v>286</v>
      </c>
      <c r="G27" s="66">
        <v>3</v>
      </c>
      <c r="H27" s="66" t="s">
        <v>277</v>
      </c>
      <c r="I27" s="55" t="s">
        <v>276</v>
      </c>
      <c r="J27" s="74" t="str">
        <f t="shared" si="0"/>
        <v>CM CF B Show Flat</v>
      </c>
      <c r="K27" s="75" t="str">
        <f t="shared" si="1"/>
        <v>CM CF B2 Brickwork</v>
      </c>
      <c r="L27" s="76" t="str">
        <f t="shared" si="2"/>
        <v>CM CF B2-3 Brickwork Labour</v>
      </c>
      <c r="M27" s="70" t="str">
        <f t="shared" si="3"/>
        <v>CM PL B Show Flat</v>
      </c>
      <c r="N27" s="71" t="str">
        <f t="shared" si="4"/>
        <v>CM PL B2 Brickwork</v>
      </c>
      <c r="O27" s="72" t="str">
        <f t="shared" si="5"/>
        <v>CM PL B2-3 Brickwork Labour</v>
      </c>
    </row>
    <row r="28" spans="1:15">
      <c r="A28" s="49" t="s">
        <v>885</v>
      </c>
      <c r="B28" s="49" t="s">
        <v>885</v>
      </c>
      <c r="C28" s="66" t="s">
        <v>844</v>
      </c>
      <c r="D28" s="66" t="s">
        <v>369</v>
      </c>
      <c r="E28" s="66">
        <v>3</v>
      </c>
      <c r="F28" s="66" t="s">
        <v>275</v>
      </c>
      <c r="G28" s="66">
        <v>1</v>
      </c>
      <c r="H28" s="66" t="s">
        <v>273</v>
      </c>
      <c r="I28" s="55" t="s">
        <v>272</v>
      </c>
      <c r="J28" s="74" t="str">
        <f t="shared" si="0"/>
        <v>CM CF B Show Flat</v>
      </c>
      <c r="K28" s="75" t="str">
        <f t="shared" si="1"/>
        <v>CM CF B3 Internal Plaster</v>
      </c>
      <c r="L28" s="76" t="str">
        <f t="shared" si="2"/>
        <v>CM CF B3-1 Plaster Material</v>
      </c>
      <c r="M28" s="70" t="str">
        <f t="shared" si="3"/>
        <v>CM PL B Show Flat</v>
      </c>
      <c r="N28" s="71" t="str">
        <f t="shared" si="4"/>
        <v>CM PL B3 Internal Plaster</v>
      </c>
      <c r="O28" s="72" t="str">
        <f t="shared" si="5"/>
        <v>CM PL B3-1 Plaster Material</v>
      </c>
    </row>
    <row r="29" spans="1:15">
      <c r="A29" s="49" t="s">
        <v>885</v>
      </c>
      <c r="B29" s="49" t="s">
        <v>885</v>
      </c>
      <c r="C29" s="66" t="s">
        <v>844</v>
      </c>
      <c r="D29" s="66" t="s">
        <v>369</v>
      </c>
      <c r="E29" s="66">
        <v>3</v>
      </c>
      <c r="F29" s="66" t="s">
        <v>275</v>
      </c>
      <c r="G29" s="66">
        <v>2</v>
      </c>
      <c r="H29" s="66" t="s">
        <v>269</v>
      </c>
      <c r="I29" s="55" t="s">
        <v>268</v>
      </c>
      <c r="J29" s="74" t="str">
        <f t="shared" si="0"/>
        <v>CM CF B Show Flat</v>
      </c>
      <c r="K29" s="75" t="str">
        <f t="shared" si="1"/>
        <v>CM CF B3 Internal Plaster</v>
      </c>
      <c r="L29" s="76" t="str">
        <f t="shared" si="2"/>
        <v>CM CF B3-2 Plaster Labour</v>
      </c>
      <c r="M29" s="70" t="str">
        <f t="shared" si="3"/>
        <v>CM PL B Show Flat</v>
      </c>
      <c r="N29" s="71" t="str">
        <f t="shared" si="4"/>
        <v>CM PL B3 Internal Plaster</v>
      </c>
      <c r="O29" s="72" t="str">
        <f t="shared" si="5"/>
        <v>CM PL B3-2 Plaster Labour</v>
      </c>
    </row>
    <row r="30" spans="1:15">
      <c r="A30" s="49" t="s">
        <v>885</v>
      </c>
      <c r="B30" s="49" t="s">
        <v>885</v>
      </c>
      <c r="C30" s="66" t="s">
        <v>844</v>
      </c>
      <c r="D30" s="66" t="s">
        <v>369</v>
      </c>
      <c r="E30" s="66">
        <v>4</v>
      </c>
      <c r="F30" s="66" t="s">
        <v>267</v>
      </c>
      <c r="G30" s="66">
        <v>1</v>
      </c>
      <c r="H30" s="66" t="s">
        <v>265</v>
      </c>
      <c r="I30" s="55" t="s">
        <v>264</v>
      </c>
      <c r="J30" s="74" t="str">
        <f t="shared" si="0"/>
        <v>CM CF B Show Flat</v>
      </c>
      <c r="K30" s="75" t="str">
        <f t="shared" si="1"/>
        <v>CM CF B4 External Plaster</v>
      </c>
      <c r="L30" s="76" t="str">
        <f t="shared" si="2"/>
        <v>CM CF B4-1 External Plaster Material</v>
      </c>
      <c r="M30" s="70" t="str">
        <f t="shared" si="3"/>
        <v>CM PL B Show Flat</v>
      </c>
      <c r="N30" s="71" t="str">
        <f t="shared" si="4"/>
        <v>CM PL B4 External Plaster</v>
      </c>
      <c r="O30" s="72" t="str">
        <f t="shared" si="5"/>
        <v>CM PL B4-1 External Plaster Material</v>
      </c>
    </row>
    <row r="31" spans="1:15">
      <c r="A31" s="49" t="s">
        <v>885</v>
      </c>
      <c r="B31" s="49" t="s">
        <v>885</v>
      </c>
      <c r="C31" s="66" t="s">
        <v>844</v>
      </c>
      <c r="D31" s="66" t="s">
        <v>369</v>
      </c>
      <c r="E31" s="66">
        <v>4</v>
      </c>
      <c r="F31" s="66" t="s">
        <v>267</v>
      </c>
      <c r="G31" s="66">
        <v>2</v>
      </c>
      <c r="H31" s="66" t="s">
        <v>261</v>
      </c>
      <c r="I31" s="55" t="s">
        <v>260</v>
      </c>
      <c r="J31" s="74" t="str">
        <f t="shared" si="0"/>
        <v>CM CF B Show Flat</v>
      </c>
      <c r="K31" s="75" t="str">
        <f t="shared" si="1"/>
        <v>CM CF B4 External Plaster</v>
      </c>
      <c r="L31" s="76" t="str">
        <f t="shared" si="2"/>
        <v>CM CF B4-2 External Plaster Labour</v>
      </c>
      <c r="M31" s="70" t="str">
        <f t="shared" si="3"/>
        <v>CM PL B Show Flat</v>
      </c>
      <c r="N31" s="71" t="str">
        <f t="shared" si="4"/>
        <v>CM PL B4 External Plaster</v>
      </c>
      <c r="O31" s="72" t="str">
        <f t="shared" si="5"/>
        <v>CM PL B4-2 External Plaster Labour</v>
      </c>
    </row>
    <row r="32" spans="1:15">
      <c r="A32" s="49" t="s">
        <v>885</v>
      </c>
      <c r="B32" s="49" t="s">
        <v>885</v>
      </c>
      <c r="C32" s="66" t="s">
        <v>844</v>
      </c>
      <c r="D32" s="66" t="s">
        <v>369</v>
      </c>
      <c r="E32" s="66">
        <v>5</v>
      </c>
      <c r="F32" s="66" t="s">
        <v>259</v>
      </c>
      <c r="G32" s="66">
        <v>1</v>
      </c>
      <c r="H32" s="66" t="s">
        <v>257</v>
      </c>
      <c r="I32" s="55" t="s">
        <v>256</v>
      </c>
      <c r="J32" s="74" t="str">
        <f t="shared" si="0"/>
        <v>CM CF B Show Flat</v>
      </c>
      <c r="K32" s="75" t="str">
        <f t="shared" si="1"/>
        <v>CM CF B5 Flooring</v>
      </c>
      <c r="L32" s="76" t="str">
        <f t="shared" si="2"/>
        <v>CM CF B5-1 Tiles</v>
      </c>
      <c r="M32" s="70" t="str">
        <f t="shared" si="3"/>
        <v>CM PL B Show Flat</v>
      </c>
      <c r="N32" s="71" t="str">
        <f t="shared" si="4"/>
        <v>CM PL B5 Flooring</v>
      </c>
      <c r="O32" s="72" t="str">
        <f t="shared" si="5"/>
        <v>CM PL B5-1 Tiles</v>
      </c>
    </row>
    <row r="33" spans="1:15">
      <c r="A33" s="49" t="s">
        <v>885</v>
      </c>
      <c r="B33" s="49" t="s">
        <v>885</v>
      </c>
      <c r="C33" s="66" t="s">
        <v>844</v>
      </c>
      <c r="D33" s="66" t="s">
        <v>369</v>
      </c>
      <c r="E33" s="66">
        <v>5</v>
      </c>
      <c r="F33" s="66" t="s">
        <v>259</v>
      </c>
      <c r="G33" s="66">
        <v>2</v>
      </c>
      <c r="H33" s="66" t="s">
        <v>254</v>
      </c>
      <c r="I33" s="55" t="s">
        <v>253</v>
      </c>
      <c r="J33" s="74" t="str">
        <f t="shared" si="0"/>
        <v>CM CF B Show Flat</v>
      </c>
      <c r="K33" s="75" t="str">
        <f t="shared" si="1"/>
        <v>CM CF B5 Flooring</v>
      </c>
      <c r="L33" s="76" t="str">
        <f t="shared" si="2"/>
        <v>CM CF B5-2 Marble/Granite</v>
      </c>
      <c r="M33" s="70" t="str">
        <f t="shared" si="3"/>
        <v>CM PL B Show Flat</v>
      </c>
      <c r="N33" s="71" t="str">
        <f t="shared" si="4"/>
        <v>CM PL B5 Flooring</v>
      </c>
      <c r="O33" s="72" t="str">
        <f t="shared" si="5"/>
        <v>CM PL B5-2 Marble/Granite</v>
      </c>
    </row>
    <row r="34" spans="1:15">
      <c r="A34" s="49" t="s">
        <v>885</v>
      </c>
      <c r="B34" s="49" t="s">
        <v>885</v>
      </c>
      <c r="C34" s="66" t="s">
        <v>844</v>
      </c>
      <c r="D34" s="66" t="s">
        <v>369</v>
      </c>
      <c r="E34" s="66">
        <v>5</v>
      </c>
      <c r="F34" s="66" t="s">
        <v>259</v>
      </c>
      <c r="G34" s="66">
        <v>3</v>
      </c>
      <c r="H34" s="66" t="s">
        <v>251</v>
      </c>
      <c r="I34" s="55" t="s">
        <v>250</v>
      </c>
      <c r="J34" s="74" t="str">
        <f t="shared" si="0"/>
        <v>CM CF B Show Flat</v>
      </c>
      <c r="K34" s="75" t="str">
        <f t="shared" si="1"/>
        <v>CM CF B5 Flooring</v>
      </c>
      <c r="L34" s="76" t="str">
        <f t="shared" si="2"/>
        <v>CM CF B5-3 Flooring Labour</v>
      </c>
      <c r="M34" s="70" t="str">
        <f t="shared" si="3"/>
        <v>CM PL B Show Flat</v>
      </c>
      <c r="N34" s="71" t="str">
        <f t="shared" si="4"/>
        <v>CM PL B5 Flooring</v>
      </c>
      <c r="O34" s="72" t="str">
        <f t="shared" si="5"/>
        <v>CM PL B5-3 Flooring Labour</v>
      </c>
    </row>
    <row r="35" spans="1:15">
      <c r="A35" s="49" t="s">
        <v>885</v>
      </c>
      <c r="B35" s="49" t="s">
        <v>885</v>
      </c>
      <c r="C35" s="66" t="s">
        <v>844</v>
      </c>
      <c r="D35" s="66" t="s">
        <v>369</v>
      </c>
      <c r="E35" s="66">
        <v>6</v>
      </c>
      <c r="F35" s="66" t="s">
        <v>246</v>
      </c>
      <c r="G35" s="66">
        <v>1</v>
      </c>
      <c r="H35" s="66" t="s">
        <v>244</v>
      </c>
      <c r="I35" s="55" t="s">
        <v>243</v>
      </c>
      <c r="J35" s="74" t="str">
        <f t="shared" si="0"/>
        <v>CM CF B Show Flat</v>
      </c>
      <c r="K35" s="75" t="str">
        <f t="shared" si="1"/>
        <v>CM CF B6 Doors &amp; Windows</v>
      </c>
      <c r="L35" s="76" t="str">
        <f t="shared" si="2"/>
        <v>CM CF B6-1 Door Frames</v>
      </c>
      <c r="M35" s="70" t="str">
        <f t="shared" si="3"/>
        <v>CM PL B Show Flat</v>
      </c>
      <c r="N35" s="71" t="str">
        <f t="shared" si="4"/>
        <v>CM PL B6 Doors &amp; Windows</v>
      </c>
      <c r="O35" s="72" t="str">
        <f t="shared" si="5"/>
        <v>CM PL B6-1 Door Frames</v>
      </c>
    </row>
    <row r="36" spans="1:15">
      <c r="A36" s="49" t="s">
        <v>885</v>
      </c>
      <c r="B36" s="49" t="s">
        <v>885</v>
      </c>
      <c r="C36" s="66" t="s">
        <v>844</v>
      </c>
      <c r="D36" s="66" t="s">
        <v>369</v>
      </c>
      <c r="E36" s="66">
        <v>6</v>
      </c>
      <c r="F36" s="66" t="s">
        <v>246</v>
      </c>
      <c r="G36" s="66">
        <v>2</v>
      </c>
      <c r="H36" s="66" t="s">
        <v>241</v>
      </c>
      <c r="I36" s="55" t="s">
        <v>240</v>
      </c>
      <c r="J36" s="74" t="str">
        <f t="shared" si="0"/>
        <v>CM CF B Show Flat</v>
      </c>
      <c r="K36" s="75" t="str">
        <f t="shared" si="1"/>
        <v>CM CF B6 Doors &amp; Windows</v>
      </c>
      <c r="L36" s="76" t="str">
        <f t="shared" si="2"/>
        <v>CM CF B6-2 Door Shutters</v>
      </c>
      <c r="M36" s="70" t="str">
        <f t="shared" si="3"/>
        <v>CM PL B Show Flat</v>
      </c>
      <c r="N36" s="71" t="str">
        <f t="shared" si="4"/>
        <v>CM PL B6 Doors &amp; Windows</v>
      </c>
      <c r="O36" s="72" t="str">
        <f t="shared" si="5"/>
        <v>CM PL B6-2 Door Shutters</v>
      </c>
    </row>
    <row r="37" spans="1:15">
      <c r="A37" s="49" t="s">
        <v>885</v>
      </c>
      <c r="B37" s="49" t="s">
        <v>885</v>
      </c>
      <c r="C37" s="66" t="s">
        <v>844</v>
      </c>
      <c r="D37" s="66" t="s">
        <v>369</v>
      </c>
      <c r="E37" s="66">
        <v>6</v>
      </c>
      <c r="F37" s="66" t="s">
        <v>246</v>
      </c>
      <c r="G37" s="66">
        <v>3</v>
      </c>
      <c r="H37" s="66" t="s">
        <v>238</v>
      </c>
      <c r="I37" s="55" t="s">
        <v>237</v>
      </c>
      <c r="J37" s="74" t="str">
        <f t="shared" si="0"/>
        <v>CM CF B Show Flat</v>
      </c>
      <c r="K37" s="75" t="str">
        <f t="shared" si="1"/>
        <v>CM CF B6 Doors &amp; Windows</v>
      </c>
      <c r="L37" s="76" t="str">
        <f t="shared" si="2"/>
        <v>CM CF B6-3 Window Frames</v>
      </c>
      <c r="M37" s="70" t="str">
        <f t="shared" si="3"/>
        <v>CM PL B Show Flat</v>
      </c>
      <c r="N37" s="71" t="str">
        <f t="shared" si="4"/>
        <v>CM PL B6 Doors &amp; Windows</v>
      </c>
      <c r="O37" s="72" t="str">
        <f t="shared" si="5"/>
        <v>CM PL B6-3 Window Frames</v>
      </c>
    </row>
    <row r="38" spans="1:15">
      <c r="A38" s="49" t="s">
        <v>885</v>
      </c>
      <c r="B38" s="49" t="s">
        <v>885</v>
      </c>
      <c r="C38" s="66" t="s">
        <v>844</v>
      </c>
      <c r="D38" s="66" t="s">
        <v>369</v>
      </c>
      <c r="E38" s="66">
        <v>6</v>
      </c>
      <c r="F38" s="66" t="s">
        <v>246</v>
      </c>
      <c r="G38" s="66">
        <v>4</v>
      </c>
      <c r="H38" s="66" t="s">
        <v>235</v>
      </c>
      <c r="I38" s="55" t="s">
        <v>231</v>
      </c>
      <c r="J38" s="74" t="str">
        <f t="shared" si="0"/>
        <v>CM CF B Show Flat</v>
      </c>
      <c r="K38" s="75" t="str">
        <f t="shared" si="1"/>
        <v>CM CF B6 Doors &amp; Windows</v>
      </c>
      <c r="L38" s="76" t="str">
        <f t="shared" si="2"/>
        <v>CM CF B6-4 Glass</v>
      </c>
      <c r="M38" s="70" t="str">
        <f t="shared" si="3"/>
        <v>CM PL B Show Flat</v>
      </c>
      <c r="N38" s="71" t="str">
        <f t="shared" si="4"/>
        <v>CM PL B6 Doors &amp; Windows</v>
      </c>
      <c r="O38" s="72" t="str">
        <f t="shared" si="5"/>
        <v>CM PL B6-4 Glass</v>
      </c>
    </row>
    <row r="39" spans="1:15">
      <c r="A39" s="49" t="s">
        <v>885</v>
      </c>
      <c r="B39" s="49" t="s">
        <v>885</v>
      </c>
      <c r="C39" s="66" t="s">
        <v>844</v>
      </c>
      <c r="D39" s="66" t="s">
        <v>369</v>
      </c>
      <c r="E39" s="66">
        <v>6</v>
      </c>
      <c r="F39" s="66" t="s">
        <v>246</v>
      </c>
      <c r="G39" s="66">
        <v>5</v>
      </c>
      <c r="H39" s="66" t="s">
        <v>340</v>
      </c>
      <c r="I39" s="55" t="s">
        <v>339</v>
      </c>
      <c r="J39" s="74" t="str">
        <f t="shared" si="0"/>
        <v>CM CF B Show Flat</v>
      </c>
      <c r="K39" s="75" t="str">
        <f t="shared" si="1"/>
        <v>CM CF B6 Doors &amp; Windows</v>
      </c>
      <c r="L39" s="76" t="str">
        <f t="shared" si="2"/>
        <v xml:space="preserve">CM CF B6-5 Alluminium and fabrication </v>
      </c>
      <c r="M39" s="70" t="str">
        <f t="shared" si="3"/>
        <v>CM PL B Show Flat</v>
      </c>
      <c r="N39" s="71" t="str">
        <f t="shared" si="4"/>
        <v>CM PL B6 Doors &amp; Windows</v>
      </c>
      <c r="O39" s="72" t="str">
        <f t="shared" si="5"/>
        <v xml:space="preserve">CM PL B6-5 Alluminium and fabrication </v>
      </c>
    </row>
    <row r="40" spans="1:15">
      <c r="A40" s="49" t="s">
        <v>885</v>
      </c>
      <c r="B40" s="49" t="s">
        <v>885</v>
      </c>
      <c r="C40" s="66" t="s">
        <v>844</v>
      </c>
      <c r="D40" s="66" t="s">
        <v>369</v>
      </c>
      <c r="E40" s="66">
        <v>7</v>
      </c>
      <c r="F40" s="66" t="s">
        <v>230</v>
      </c>
      <c r="G40" s="66">
        <v>1</v>
      </c>
      <c r="H40" s="66" t="s">
        <v>228</v>
      </c>
      <c r="I40" s="55" t="s">
        <v>227</v>
      </c>
      <c r="J40" s="74" t="str">
        <f t="shared" si="0"/>
        <v>CM CF B Show Flat</v>
      </c>
      <c r="K40" s="75" t="str">
        <f t="shared" si="1"/>
        <v>CM CF B7 Electrical</v>
      </c>
      <c r="L40" s="76" t="str">
        <f t="shared" si="2"/>
        <v>CM CF B7-1 Wires</v>
      </c>
      <c r="M40" s="70" t="str">
        <f t="shared" si="3"/>
        <v>CM PL B Show Flat</v>
      </c>
      <c r="N40" s="71" t="str">
        <f t="shared" si="4"/>
        <v>CM PL B7 Electrical</v>
      </c>
      <c r="O40" s="72" t="str">
        <f t="shared" si="5"/>
        <v>CM PL B7-1 Wires</v>
      </c>
    </row>
    <row r="41" spans="1:15">
      <c r="A41" s="49" t="s">
        <v>885</v>
      </c>
      <c r="B41" s="49" t="s">
        <v>885</v>
      </c>
      <c r="C41" s="66" t="s">
        <v>844</v>
      </c>
      <c r="D41" s="66" t="s">
        <v>369</v>
      </c>
      <c r="E41" s="66">
        <v>7</v>
      </c>
      <c r="F41" s="66" t="s">
        <v>230</v>
      </c>
      <c r="G41" s="66">
        <v>2</v>
      </c>
      <c r="H41" s="66" t="s">
        <v>225</v>
      </c>
      <c r="I41" s="55" t="s">
        <v>224</v>
      </c>
      <c r="J41" s="74" t="str">
        <f t="shared" si="0"/>
        <v>CM CF B Show Flat</v>
      </c>
      <c r="K41" s="75" t="str">
        <f t="shared" si="1"/>
        <v>CM CF B7 Electrical</v>
      </c>
      <c r="L41" s="76" t="str">
        <f t="shared" si="2"/>
        <v>CM CF B7-2 Switches</v>
      </c>
      <c r="M41" s="70" t="str">
        <f t="shared" si="3"/>
        <v>CM PL B Show Flat</v>
      </c>
      <c r="N41" s="71" t="str">
        <f t="shared" si="4"/>
        <v>CM PL B7 Electrical</v>
      </c>
      <c r="O41" s="72" t="str">
        <f t="shared" si="5"/>
        <v>CM PL B7-2 Switches</v>
      </c>
    </row>
    <row r="42" spans="1:15">
      <c r="A42" s="49" t="s">
        <v>885</v>
      </c>
      <c r="B42" s="49" t="s">
        <v>885</v>
      </c>
      <c r="C42" s="66" t="s">
        <v>844</v>
      </c>
      <c r="D42" s="66" t="s">
        <v>369</v>
      </c>
      <c r="E42" s="66">
        <v>7</v>
      </c>
      <c r="F42" s="66" t="s">
        <v>230</v>
      </c>
      <c r="G42" s="66">
        <v>3</v>
      </c>
      <c r="H42" s="66" t="s">
        <v>222</v>
      </c>
      <c r="I42" s="55" t="s">
        <v>221</v>
      </c>
      <c r="J42" s="74" t="str">
        <f t="shared" si="0"/>
        <v>CM CF B Show Flat</v>
      </c>
      <c r="K42" s="75" t="str">
        <f t="shared" si="1"/>
        <v>CM CF B7 Electrical</v>
      </c>
      <c r="L42" s="76" t="str">
        <f t="shared" si="2"/>
        <v>CM CF B7-3 DB Panels</v>
      </c>
      <c r="M42" s="70" t="str">
        <f t="shared" si="3"/>
        <v>CM PL B Show Flat</v>
      </c>
      <c r="N42" s="71" t="str">
        <f t="shared" si="4"/>
        <v>CM PL B7 Electrical</v>
      </c>
      <c r="O42" s="72" t="str">
        <f t="shared" si="5"/>
        <v>CM PL B7-3 DB Panels</v>
      </c>
    </row>
    <row r="43" spans="1:15">
      <c r="A43" s="49" t="s">
        <v>885</v>
      </c>
      <c r="B43" s="49" t="s">
        <v>885</v>
      </c>
      <c r="C43" s="66" t="s">
        <v>844</v>
      </c>
      <c r="D43" s="66" t="s">
        <v>369</v>
      </c>
      <c r="E43" s="66">
        <v>7</v>
      </c>
      <c r="F43" s="66" t="s">
        <v>230</v>
      </c>
      <c r="G43" s="66">
        <v>4</v>
      </c>
      <c r="H43" s="66" t="s">
        <v>219</v>
      </c>
      <c r="I43" s="55" t="s">
        <v>216</v>
      </c>
      <c r="J43" s="74" t="str">
        <f t="shared" si="0"/>
        <v>CM CF B Show Flat</v>
      </c>
      <c r="K43" s="75" t="str">
        <f t="shared" si="1"/>
        <v>CM CF B7 Electrical</v>
      </c>
      <c r="L43" s="76" t="str">
        <f t="shared" si="2"/>
        <v>CM CF B7-4 Electrical Labour</v>
      </c>
      <c r="M43" s="70" t="str">
        <f t="shared" si="3"/>
        <v>CM PL B Show Flat</v>
      </c>
      <c r="N43" s="71" t="str">
        <f t="shared" si="4"/>
        <v>CM PL B7 Electrical</v>
      </c>
      <c r="O43" s="72" t="str">
        <f t="shared" si="5"/>
        <v>CM PL B7-4 Electrical Labour</v>
      </c>
    </row>
    <row r="44" spans="1:15">
      <c r="A44" s="49" t="s">
        <v>885</v>
      </c>
      <c r="B44" s="49" t="s">
        <v>885</v>
      </c>
      <c r="C44" s="66" t="s">
        <v>844</v>
      </c>
      <c r="D44" s="66" t="s">
        <v>369</v>
      </c>
      <c r="E44" s="66">
        <v>7</v>
      </c>
      <c r="F44" s="66" t="s">
        <v>230</v>
      </c>
      <c r="G44" s="66">
        <v>5</v>
      </c>
      <c r="H44" s="66" t="s">
        <v>217</v>
      </c>
      <c r="I44" s="55" t="s">
        <v>216</v>
      </c>
      <c r="J44" s="74" t="str">
        <f t="shared" si="0"/>
        <v>CM CF B Show Flat</v>
      </c>
      <c r="K44" s="75" t="str">
        <f t="shared" si="1"/>
        <v>CM CF B7 Electrical</v>
      </c>
      <c r="L44" s="76" t="str">
        <f t="shared" si="2"/>
        <v>CM CF B7-5 Lights</v>
      </c>
      <c r="M44" s="70" t="str">
        <f t="shared" si="3"/>
        <v>CM PL B Show Flat</v>
      </c>
      <c r="N44" s="71" t="str">
        <f t="shared" si="4"/>
        <v>CM PL B7 Electrical</v>
      </c>
      <c r="O44" s="72" t="str">
        <f t="shared" si="5"/>
        <v>CM PL B7-5 Lights</v>
      </c>
    </row>
    <row r="45" spans="1:15">
      <c r="A45" s="49" t="s">
        <v>885</v>
      </c>
      <c r="B45" s="49" t="s">
        <v>885</v>
      </c>
      <c r="C45" s="66" t="s">
        <v>844</v>
      </c>
      <c r="D45" s="66" t="s">
        <v>369</v>
      </c>
      <c r="E45" s="66">
        <v>7</v>
      </c>
      <c r="F45" s="66" t="s">
        <v>230</v>
      </c>
      <c r="G45" s="66">
        <v>6</v>
      </c>
      <c r="H45" s="66" t="s">
        <v>213</v>
      </c>
      <c r="J45" s="74" t="str">
        <f t="shared" si="0"/>
        <v>CM CF B Show Flat</v>
      </c>
      <c r="K45" s="75" t="str">
        <f t="shared" si="1"/>
        <v>CM CF B7 Electrical</v>
      </c>
      <c r="L45" s="76" t="str">
        <f t="shared" si="2"/>
        <v>CM CF B7-6 Other Electric &amp; Hardware Material</v>
      </c>
      <c r="M45" s="70" t="str">
        <f t="shared" si="3"/>
        <v>CM PL B Show Flat</v>
      </c>
      <c r="N45" s="71" t="str">
        <f t="shared" si="4"/>
        <v>CM PL B7 Electrical</v>
      </c>
      <c r="O45" s="72" t="str">
        <f t="shared" si="5"/>
        <v>CM PL B7-6 Other Electric &amp; Hardware Material</v>
      </c>
    </row>
    <row r="46" spans="1:15">
      <c r="A46" s="49" t="s">
        <v>885</v>
      </c>
      <c r="B46" s="49" t="s">
        <v>885</v>
      </c>
      <c r="C46" s="66" t="s">
        <v>844</v>
      </c>
      <c r="D46" s="66" t="s">
        <v>369</v>
      </c>
      <c r="E46" s="66">
        <v>8</v>
      </c>
      <c r="F46" s="66" t="s">
        <v>212</v>
      </c>
      <c r="G46" s="66">
        <v>1</v>
      </c>
      <c r="H46" s="66" t="s">
        <v>210</v>
      </c>
      <c r="I46" s="55" t="s">
        <v>209</v>
      </c>
      <c r="J46" s="74" t="str">
        <f t="shared" si="0"/>
        <v>CM CF B Show Flat</v>
      </c>
      <c r="K46" s="75" t="str">
        <f t="shared" si="1"/>
        <v>CM CF B8 Plumbing</v>
      </c>
      <c r="L46" s="76" t="str">
        <f t="shared" si="2"/>
        <v>CM CF B8-1 Pipes</v>
      </c>
      <c r="M46" s="70" t="str">
        <f t="shared" si="3"/>
        <v>CM PL B Show Flat</v>
      </c>
      <c r="N46" s="71" t="str">
        <f t="shared" si="4"/>
        <v>CM PL B8 Plumbing</v>
      </c>
      <c r="O46" s="72" t="str">
        <f t="shared" si="5"/>
        <v>CM PL B8-1 Pipes</v>
      </c>
    </row>
    <row r="47" spans="1:15">
      <c r="A47" s="49" t="s">
        <v>885</v>
      </c>
      <c r="B47" s="49" t="s">
        <v>885</v>
      </c>
      <c r="C47" s="66" t="s">
        <v>844</v>
      </c>
      <c r="D47" s="66" t="s">
        <v>369</v>
      </c>
      <c r="E47" s="66">
        <v>8</v>
      </c>
      <c r="F47" s="66" t="s">
        <v>212</v>
      </c>
      <c r="G47" s="66">
        <v>2</v>
      </c>
      <c r="H47" s="66" t="s">
        <v>207</v>
      </c>
      <c r="I47" s="55" t="s">
        <v>206</v>
      </c>
      <c r="J47" s="74" t="str">
        <f t="shared" si="0"/>
        <v>CM CF B Show Flat</v>
      </c>
      <c r="K47" s="75" t="str">
        <f t="shared" si="1"/>
        <v>CM CF B8 Plumbing</v>
      </c>
      <c r="L47" s="76" t="str">
        <f t="shared" si="2"/>
        <v>CM CF B8-2 Fittings</v>
      </c>
      <c r="M47" s="70" t="str">
        <f t="shared" si="3"/>
        <v>CM PL B Show Flat</v>
      </c>
      <c r="N47" s="71" t="str">
        <f t="shared" si="4"/>
        <v>CM PL B8 Plumbing</v>
      </c>
      <c r="O47" s="72" t="str">
        <f t="shared" si="5"/>
        <v>CM PL B8-2 Fittings</v>
      </c>
    </row>
    <row r="48" spans="1:15">
      <c r="A48" s="49" t="s">
        <v>885</v>
      </c>
      <c r="B48" s="49" t="s">
        <v>885</v>
      </c>
      <c r="C48" s="66" t="s">
        <v>844</v>
      </c>
      <c r="D48" s="66" t="s">
        <v>369</v>
      </c>
      <c r="E48" s="66">
        <v>8</v>
      </c>
      <c r="F48" s="66" t="s">
        <v>212</v>
      </c>
      <c r="G48" s="66">
        <v>3</v>
      </c>
      <c r="H48" s="66" t="s">
        <v>203</v>
      </c>
      <c r="I48" s="55" t="s">
        <v>202</v>
      </c>
      <c r="J48" s="74" t="str">
        <f t="shared" si="0"/>
        <v>CM CF B Show Flat</v>
      </c>
      <c r="K48" s="75" t="str">
        <f t="shared" si="1"/>
        <v>CM CF B8 Plumbing</v>
      </c>
      <c r="L48" s="76" t="str">
        <f t="shared" si="2"/>
        <v>CM CF B8-3 Plumbing Labour</v>
      </c>
      <c r="M48" s="70" t="str">
        <f t="shared" si="3"/>
        <v>CM PL B Show Flat</v>
      </c>
      <c r="N48" s="71" t="str">
        <f t="shared" si="4"/>
        <v>CM PL B8 Plumbing</v>
      </c>
      <c r="O48" s="72" t="str">
        <f t="shared" si="5"/>
        <v>CM PL B8-3 Plumbing Labour</v>
      </c>
    </row>
    <row r="49" spans="1:15">
      <c r="A49" s="49" t="s">
        <v>885</v>
      </c>
      <c r="B49" s="49" t="s">
        <v>885</v>
      </c>
      <c r="C49" s="66" t="s">
        <v>844</v>
      </c>
      <c r="D49" s="66" t="s">
        <v>369</v>
      </c>
      <c r="E49" s="66">
        <v>9</v>
      </c>
      <c r="F49" s="66" t="s">
        <v>201</v>
      </c>
      <c r="G49" s="66">
        <v>1</v>
      </c>
      <c r="H49" s="66" t="s">
        <v>199</v>
      </c>
      <c r="I49" s="55" t="s">
        <v>198</v>
      </c>
      <c r="J49" s="74" t="str">
        <f t="shared" si="0"/>
        <v>CM CF B Show Flat</v>
      </c>
      <c r="K49" s="75" t="str">
        <f t="shared" si="1"/>
        <v>CM CF B9 Waterproofing</v>
      </c>
      <c r="L49" s="76" t="str">
        <f t="shared" si="2"/>
        <v>CM CF B9-1 Chemical Waterproofing</v>
      </c>
      <c r="M49" s="70" t="str">
        <f t="shared" si="3"/>
        <v>CM PL B Show Flat</v>
      </c>
      <c r="N49" s="71" t="str">
        <f t="shared" si="4"/>
        <v>CM PL B9 Waterproofing</v>
      </c>
      <c r="O49" s="72" t="str">
        <f t="shared" si="5"/>
        <v>CM PL B9-1 Chemical Waterproofing</v>
      </c>
    </row>
    <row r="50" spans="1:15">
      <c r="A50" s="49" t="s">
        <v>885</v>
      </c>
      <c r="B50" s="49" t="s">
        <v>885</v>
      </c>
      <c r="C50" s="66" t="s">
        <v>844</v>
      </c>
      <c r="D50" s="66" t="s">
        <v>369</v>
      </c>
      <c r="E50" s="66">
        <v>9</v>
      </c>
      <c r="F50" s="66" t="s">
        <v>201</v>
      </c>
      <c r="G50" s="66">
        <v>2</v>
      </c>
      <c r="H50" s="66" t="s">
        <v>195</v>
      </c>
      <c r="I50" s="55" t="s">
        <v>194</v>
      </c>
      <c r="J50" s="74" t="str">
        <f t="shared" si="0"/>
        <v>CM CF B Show Flat</v>
      </c>
      <c r="K50" s="75" t="str">
        <f t="shared" si="1"/>
        <v>CM CF B9 Waterproofing</v>
      </c>
      <c r="L50" s="76" t="str">
        <f t="shared" si="2"/>
        <v>CM CF B9-2 Waterproofing Labour</v>
      </c>
      <c r="M50" s="70" t="str">
        <f t="shared" si="3"/>
        <v>CM PL B Show Flat</v>
      </c>
      <c r="N50" s="71" t="str">
        <f t="shared" si="4"/>
        <v>CM PL B9 Waterproofing</v>
      </c>
      <c r="O50" s="72" t="str">
        <f t="shared" si="5"/>
        <v>CM PL B9-2 Waterproofing Labour</v>
      </c>
    </row>
    <row r="51" spans="1:15">
      <c r="A51" s="49" t="s">
        <v>885</v>
      </c>
      <c r="B51" s="49" t="s">
        <v>885</v>
      </c>
      <c r="C51" s="66" t="s">
        <v>844</v>
      </c>
      <c r="D51" s="66" t="s">
        <v>369</v>
      </c>
      <c r="E51" s="66">
        <v>10</v>
      </c>
      <c r="F51" s="66" t="s">
        <v>193</v>
      </c>
      <c r="G51" s="66">
        <v>1</v>
      </c>
      <c r="H51" s="66" t="s">
        <v>191</v>
      </c>
      <c r="I51" s="55" t="s">
        <v>190</v>
      </c>
      <c r="J51" s="74" t="str">
        <f t="shared" si="0"/>
        <v>CM CF B Show Flat</v>
      </c>
      <c r="K51" s="75" t="str">
        <f t="shared" si="1"/>
        <v>CM CF B10 Painting</v>
      </c>
      <c r="L51" s="76" t="str">
        <f t="shared" si="2"/>
        <v>CM CF B10-1 Primer</v>
      </c>
      <c r="M51" s="70" t="str">
        <f t="shared" si="3"/>
        <v>CM PL B Show Flat</v>
      </c>
      <c r="N51" s="71" t="str">
        <f t="shared" si="4"/>
        <v>CM PL B10 Painting</v>
      </c>
      <c r="O51" s="72" t="str">
        <f t="shared" si="5"/>
        <v>CM PL B10-1 Primer</v>
      </c>
    </row>
    <row r="52" spans="1:15">
      <c r="A52" s="49" t="s">
        <v>885</v>
      </c>
      <c r="B52" s="49" t="s">
        <v>885</v>
      </c>
      <c r="C52" s="66" t="s">
        <v>844</v>
      </c>
      <c r="D52" s="66" t="s">
        <v>369</v>
      </c>
      <c r="E52" s="66">
        <v>10</v>
      </c>
      <c r="F52" s="66" t="s">
        <v>193</v>
      </c>
      <c r="G52" s="66">
        <v>2</v>
      </c>
      <c r="H52" s="66" t="s">
        <v>188</v>
      </c>
      <c r="I52" s="55" t="s">
        <v>187</v>
      </c>
      <c r="J52" s="74" t="str">
        <f t="shared" si="0"/>
        <v>CM CF B Show Flat</v>
      </c>
      <c r="K52" s="75" t="str">
        <f t="shared" si="1"/>
        <v>CM CF B10 Painting</v>
      </c>
      <c r="L52" s="76" t="str">
        <f t="shared" si="2"/>
        <v>CM CF B10-2 Paint</v>
      </c>
      <c r="M52" s="70" t="str">
        <f t="shared" si="3"/>
        <v>CM PL B Show Flat</v>
      </c>
      <c r="N52" s="71" t="str">
        <f t="shared" si="4"/>
        <v>CM PL B10 Painting</v>
      </c>
      <c r="O52" s="72" t="str">
        <f t="shared" si="5"/>
        <v>CM PL B10-2 Paint</v>
      </c>
    </row>
    <row r="53" spans="1:15">
      <c r="A53" s="49" t="s">
        <v>885</v>
      </c>
      <c r="B53" s="49" t="s">
        <v>885</v>
      </c>
      <c r="C53" s="66" t="s">
        <v>844</v>
      </c>
      <c r="D53" s="66" t="s">
        <v>369</v>
      </c>
      <c r="E53" s="66">
        <v>10</v>
      </c>
      <c r="F53" s="66" t="s">
        <v>193</v>
      </c>
      <c r="G53" s="66">
        <v>3</v>
      </c>
      <c r="H53" s="66" t="s">
        <v>184</v>
      </c>
      <c r="I53" s="55" t="s">
        <v>183</v>
      </c>
      <c r="J53" s="74" t="str">
        <f t="shared" si="0"/>
        <v>CM CF B Show Flat</v>
      </c>
      <c r="K53" s="75" t="str">
        <f t="shared" si="1"/>
        <v>CM CF B10 Painting</v>
      </c>
      <c r="L53" s="76" t="str">
        <f t="shared" si="2"/>
        <v>CM CF B10-3 Painting Labour</v>
      </c>
      <c r="M53" s="70" t="str">
        <f t="shared" si="3"/>
        <v>CM PL B Show Flat</v>
      </c>
      <c r="N53" s="71" t="str">
        <f t="shared" si="4"/>
        <v>CM PL B10 Painting</v>
      </c>
      <c r="O53" s="72" t="str">
        <f t="shared" si="5"/>
        <v>CM PL B10-3 Painting Labour</v>
      </c>
    </row>
    <row r="54" spans="1:15">
      <c r="A54" s="49" t="s">
        <v>885</v>
      </c>
      <c r="B54" s="49" t="s">
        <v>885</v>
      </c>
      <c r="C54" s="66" t="s">
        <v>844</v>
      </c>
      <c r="D54" s="66" t="s">
        <v>369</v>
      </c>
      <c r="E54" s="66">
        <v>11</v>
      </c>
      <c r="F54" s="66" t="s">
        <v>181</v>
      </c>
      <c r="G54" s="66">
        <v>1</v>
      </c>
      <c r="H54" s="66" t="s">
        <v>181</v>
      </c>
      <c r="I54" s="55" t="s">
        <v>180</v>
      </c>
      <c r="J54" s="74" t="str">
        <f t="shared" si="0"/>
        <v>CM CF B Show Flat</v>
      </c>
      <c r="K54" s="75" t="str">
        <f t="shared" si="1"/>
        <v>CM CF B11 Furniture/Equipments</v>
      </c>
      <c r="L54" s="77" t="str">
        <f t="shared" si="2"/>
        <v>CM CF B11-1 Furniture/Equipments</v>
      </c>
      <c r="M54" s="70" t="str">
        <f t="shared" si="3"/>
        <v>CM PL B Show Flat</v>
      </c>
      <c r="N54" s="71" t="str">
        <f t="shared" si="4"/>
        <v>CM PL B11 Furniture/Equipments</v>
      </c>
      <c r="O54" s="73" t="str">
        <f t="shared" si="5"/>
        <v>CM PL B11-1 Furniture/Equipments</v>
      </c>
    </row>
    <row r="55" spans="1:15">
      <c r="A55" s="49" t="s">
        <v>885</v>
      </c>
      <c r="B55" s="49" t="s">
        <v>885</v>
      </c>
      <c r="C55" s="66" t="s">
        <v>844</v>
      </c>
      <c r="D55" s="66" t="s">
        <v>369</v>
      </c>
      <c r="E55" s="66">
        <v>11</v>
      </c>
      <c r="F55" s="66" t="s">
        <v>181</v>
      </c>
      <c r="G55" s="66">
        <v>2</v>
      </c>
      <c r="H55" s="66" t="s">
        <v>177</v>
      </c>
      <c r="I55" s="55" t="s">
        <v>318</v>
      </c>
      <c r="J55" s="74" t="str">
        <f t="shared" si="0"/>
        <v>CM CF B Show Flat</v>
      </c>
      <c r="K55" s="75" t="str">
        <f t="shared" si="1"/>
        <v>CM CF B11 Furniture/Equipments</v>
      </c>
      <c r="L55" s="76" t="str">
        <f t="shared" si="2"/>
        <v>CM CF B11-2 POP</v>
      </c>
      <c r="M55" s="70" t="str">
        <f t="shared" si="3"/>
        <v>CM PL B Show Flat</v>
      </c>
      <c r="N55" s="71" t="str">
        <f t="shared" si="4"/>
        <v>CM PL B11 Furniture/Equipments</v>
      </c>
      <c r="O55" s="72" t="str">
        <f t="shared" si="5"/>
        <v>CM PL B11-2 POP</v>
      </c>
    </row>
    <row r="56" spans="1:15">
      <c r="A56" s="49" t="s">
        <v>885</v>
      </c>
      <c r="B56" s="49" t="s">
        <v>885</v>
      </c>
      <c r="C56" s="66" t="s">
        <v>844</v>
      </c>
      <c r="D56" s="66" t="s">
        <v>369</v>
      </c>
      <c r="E56" s="66">
        <v>11</v>
      </c>
      <c r="F56" s="66" t="s">
        <v>181</v>
      </c>
      <c r="G56" s="66">
        <v>3</v>
      </c>
      <c r="H56" s="66" t="s">
        <v>315</v>
      </c>
      <c r="J56" s="74" t="str">
        <f t="shared" si="0"/>
        <v>CM CF B Show Flat</v>
      </c>
      <c r="K56" s="75" t="str">
        <f t="shared" si="1"/>
        <v>CM CF B11 Furniture/Equipments</v>
      </c>
      <c r="L56" s="76" t="str">
        <f t="shared" si="2"/>
        <v>CM CF B11-3 Fabric Naturalia</v>
      </c>
      <c r="M56" s="70" t="str">
        <f t="shared" si="3"/>
        <v>CM PL B Show Flat</v>
      </c>
      <c r="N56" s="71" t="str">
        <f t="shared" si="4"/>
        <v>CM PL B11 Furniture/Equipments</v>
      </c>
      <c r="O56" s="72" t="str">
        <f t="shared" si="5"/>
        <v>CM PL B11-3 Fabric Naturalia</v>
      </c>
    </row>
    <row r="57" spans="1:15">
      <c r="A57" s="49" t="s">
        <v>885</v>
      </c>
      <c r="B57" s="49" t="s">
        <v>885</v>
      </c>
      <c r="C57" s="66" t="s">
        <v>827</v>
      </c>
      <c r="D57" s="66" t="s">
        <v>310</v>
      </c>
      <c r="E57" s="66">
        <v>1</v>
      </c>
      <c r="F57" s="66" t="s">
        <v>309</v>
      </c>
      <c r="G57" s="66">
        <v>1</v>
      </c>
      <c r="H57" s="66" t="s">
        <v>307</v>
      </c>
      <c r="J57" s="74" t="str">
        <f t="shared" si="0"/>
        <v>CM CF C Sales Office</v>
      </c>
      <c r="K57" s="75" t="str">
        <f t="shared" si="1"/>
        <v>CM CF C1 RCC Structure</v>
      </c>
      <c r="L57" s="76" t="str">
        <f t="shared" si="2"/>
        <v>CM CF C1-1 Steel</v>
      </c>
      <c r="M57" s="70" t="str">
        <f t="shared" si="3"/>
        <v>CM PL C Sales Office</v>
      </c>
      <c r="N57" s="71" t="str">
        <f t="shared" si="4"/>
        <v>CM PL C1 RCC Structure</v>
      </c>
      <c r="O57" s="72" t="str">
        <f t="shared" si="5"/>
        <v>CM PL C1-1 Steel</v>
      </c>
    </row>
    <row r="58" spans="1:15">
      <c r="A58" s="49" t="s">
        <v>885</v>
      </c>
      <c r="B58" s="49" t="s">
        <v>885</v>
      </c>
      <c r="C58" s="66" t="s">
        <v>827</v>
      </c>
      <c r="D58" s="66" t="s">
        <v>310</v>
      </c>
      <c r="E58" s="66">
        <v>1</v>
      </c>
      <c r="F58" s="66" t="s">
        <v>309</v>
      </c>
      <c r="G58" s="66">
        <v>2</v>
      </c>
      <c r="H58" s="66" t="s">
        <v>304</v>
      </c>
      <c r="J58" s="74" t="str">
        <f t="shared" si="0"/>
        <v>CM CF C Sales Office</v>
      </c>
      <c r="K58" s="75" t="str">
        <f t="shared" si="1"/>
        <v>CM CF C1 RCC Structure</v>
      </c>
      <c r="L58" s="76" t="str">
        <f t="shared" si="2"/>
        <v>CM CF C1-2 Cement</v>
      </c>
      <c r="M58" s="70" t="str">
        <f t="shared" si="3"/>
        <v>CM PL C Sales Office</v>
      </c>
      <c r="N58" s="71" t="str">
        <f t="shared" si="4"/>
        <v>CM PL C1 RCC Structure</v>
      </c>
      <c r="O58" s="72" t="str">
        <f t="shared" si="5"/>
        <v>CM PL C1-2 Cement</v>
      </c>
    </row>
    <row r="59" spans="1:15">
      <c r="A59" s="49" t="s">
        <v>885</v>
      </c>
      <c r="B59" s="49" t="s">
        <v>885</v>
      </c>
      <c r="C59" s="66" t="s">
        <v>827</v>
      </c>
      <c r="D59" s="66" t="s">
        <v>310</v>
      </c>
      <c r="E59" s="66">
        <v>1</v>
      </c>
      <c r="F59" s="66" t="s">
        <v>309</v>
      </c>
      <c r="G59" s="66">
        <v>3</v>
      </c>
      <c r="H59" s="66" t="s">
        <v>301</v>
      </c>
      <c r="J59" s="74" t="str">
        <f t="shared" si="0"/>
        <v>CM CF C Sales Office</v>
      </c>
      <c r="K59" s="75" t="str">
        <f t="shared" si="1"/>
        <v>CM CF C1 RCC Structure</v>
      </c>
      <c r="L59" s="76" t="str">
        <f t="shared" si="2"/>
        <v>CM CF C1-3 Sand</v>
      </c>
      <c r="M59" s="70" t="str">
        <f t="shared" si="3"/>
        <v>CM PL C Sales Office</v>
      </c>
      <c r="N59" s="71" t="str">
        <f t="shared" si="4"/>
        <v>CM PL C1 RCC Structure</v>
      </c>
      <c r="O59" s="72" t="str">
        <f t="shared" si="5"/>
        <v>CM PL C1-3 Sand</v>
      </c>
    </row>
    <row r="60" spans="1:15">
      <c r="A60" s="49" t="s">
        <v>885</v>
      </c>
      <c r="B60" s="49" t="s">
        <v>885</v>
      </c>
      <c r="C60" s="66" t="s">
        <v>827</v>
      </c>
      <c r="D60" s="66" t="s">
        <v>310</v>
      </c>
      <c r="E60" s="66">
        <v>1</v>
      </c>
      <c r="F60" s="66" t="s">
        <v>309</v>
      </c>
      <c r="G60" s="66">
        <v>4</v>
      </c>
      <c r="H60" s="66" t="s">
        <v>298</v>
      </c>
      <c r="J60" s="74" t="str">
        <f t="shared" si="0"/>
        <v>CM CF C Sales Office</v>
      </c>
      <c r="K60" s="75" t="str">
        <f t="shared" si="1"/>
        <v>CM CF C1 RCC Structure</v>
      </c>
      <c r="L60" s="76" t="str">
        <f t="shared" si="2"/>
        <v>CM CF C1-4 Aggregate</v>
      </c>
      <c r="M60" s="70" t="str">
        <f t="shared" si="3"/>
        <v>CM PL C Sales Office</v>
      </c>
      <c r="N60" s="71" t="str">
        <f t="shared" si="4"/>
        <v>CM PL C1 RCC Structure</v>
      </c>
      <c r="O60" s="72" t="str">
        <f t="shared" si="5"/>
        <v>CM PL C1-4 Aggregate</v>
      </c>
    </row>
    <row r="61" spans="1:15">
      <c r="A61" s="49" t="s">
        <v>885</v>
      </c>
      <c r="B61" s="49" t="s">
        <v>885</v>
      </c>
      <c r="C61" s="66" t="s">
        <v>827</v>
      </c>
      <c r="D61" s="66" t="s">
        <v>310</v>
      </c>
      <c r="E61" s="66">
        <v>1</v>
      </c>
      <c r="F61" s="66" t="s">
        <v>309</v>
      </c>
      <c r="G61" s="66">
        <v>5</v>
      </c>
      <c r="H61" s="66" t="s">
        <v>295</v>
      </c>
      <c r="J61" s="74" t="str">
        <f t="shared" si="0"/>
        <v>CM CF C Sales Office</v>
      </c>
      <c r="K61" s="75" t="str">
        <f t="shared" si="1"/>
        <v>CM CF C1 RCC Structure</v>
      </c>
      <c r="L61" s="76" t="str">
        <f t="shared" si="2"/>
        <v>CM CF C1-5 RCC Labour</v>
      </c>
      <c r="M61" s="70" t="str">
        <f t="shared" si="3"/>
        <v>CM PL C Sales Office</v>
      </c>
      <c r="N61" s="71" t="str">
        <f t="shared" si="4"/>
        <v>CM PL C1 RCC Structure</v>
      </c>
      <c r="O61" s="72" t="str">
        <f t="shared" si="5"/>
        <v>CM PL C1-5 RCC Labour</v>
      </c>
    </row>
    <row r="62" spans="1:15">
      <c r="A62" s="49" t="s">
        <v>885</v>
      </c>
      <c r="B62" s="49" t="s">
        <v>885</v>
      </c>
      <c r="C62" s="66" t="s">
        <v>827</v>
      </c>
      <c r="D62" s="66" t="s">
        <v>310</v>
      </c>
      <c r="E62" s="66">
        <v>1</v>
      </c>
      <c r="F62" s="66" t="s">
        <v>309</v>
      </c>
      <c r="G62" s="66">
        <v>6</v>
      </c>
      <c r="H62" s="66" t="s">
        <v>292</v>
      </c>
      <c r="J62" s="74" t="str">
        <f t="shared" si="0"/>
        <v>CM CF C Sales Office</v>
      </c>
      <c r="K62" s="75" t="str">
        <f t="shared" si="1"/>
        <v>CM CF C1 RCC Structure</v>
      </c>
      <c r="L62" s="76" t="str">
        <f t="shared" si="2"/>
        <v>CM CF C1-6 Shuttering</v>
      </c>
      <c r="M62" s="70" t="str">
        <f t="shared" si="3"/>
        <v>CM PL C Sales Office</v>
      </c>
      <c r="N62" s="71" t="str">
        <f t="shared" si="4"/>
        <v>CM PL C1 RCC Structure</v>
      </c>
      <c r="O62" s="72" t="str">
        <f t="shared" si="5"/>
        <v>CM PL C1-6 Shuttering</v>
      </c>
    </row>
    <row r="63" spans="1:15">
      <c r="A63" s="49" t="s">
        <v>885</v>
      </c>
      <c r="B63" s="49" t="s">
        <v>885</v>
      </c>
      <c r="C63" s="66" t="s">
        <v>827</v>
      </c>
      <c r="D63" s="66" t="s">
        <v>310</v>
      </c>
      <c r="E63" s="66">
        <v>1</v>
      </c>
      <c r="F63" s="66" t="s">
        <v>309</v>
      </c>
      <c r="G63" s="66">
        <v>7</v>
      </c>
      <c r="H63" s="66" t="s">
        <v>288</v>
      </c>
      <c r="J63" s="74" t="str">
        <f t="shared" si="0"/>
        <v>CM CF C Sales Office</v>
      </c>
      <c r="K63" s="75" t="str">
        <f t="shared" si="1"/>
        <v>CM CF C1 RCC Structure</v>
      </c>
      <c r="L63" s="76" t="str">
        <f t="shared" si="2"/>
        <v>CM CF C1-7 Concrete Pump</v>
      </c>
      <c r="M63" s="70" t="str">
        <f t="shared" si="3"/>
        <v>CM PL C Sales Office</v>
      </c>
      <c r="N63" s="71" t="str">
        <f t="shared" si="4"/>
        <v>CM PL C1 RCC Structure</v>
      </c>
      <c r="O63" s="72" t="str">
        <f t="shared" si="5"/>
        <v>CM PL C1-7 Concrete Pump</v>
      </c>
    </row>
    <row r="64" spans="1:15">
      <c r="A64" s="49" t="s">
        <v>885</v>
      </c>
      <c r="B64" s="49" t="s">
        <v>885</v>
      </c>
      <c r="C64" s="66" t="s">
        <v>827</v>
      </c>
      <c r="D64" s="66" t="s">
        <v>310</v>
      </c>
      <c r="E64" s="66">
        <v>2</v>
      </c>
      <c r="F64" s="66" t="s">
        <v>286</v>
      </c>
      <c r="G64" s="66">
        <v>1</v>
      </c>
      <c r="H64" s="66" t="s">
        <v>284</v>
      </c>
      <c r="J64" s="74" t="str">
        <f t="shared" si="0"/>
        <v>CM CF C Sales Office</v>
      </c>
      <c r="K64" s="75" t="str">
        <f t="shared" si="1"/>
        <v>CM CF C2 Brickwork</v>
      </c>
      <c r="L64" s="76" t="str">
        <f t="shared" si="2"/>
        <v>CM CF C2-1 Bricks/Blocks</v>
      </c>
      <c r="M64" s="70" t="str">
        <f t="shared" si="3"/>
        <v>CM PL C Sales Office</v>
      </c>
      <c r="N64" s="71" t="str">
        <f t="shared" si="4"/>
        <v>CM PL C2 Brickwork</v>
      </c>
      <c r="O64" s="72" t="str">
        <f t="shared" si="5"/>
        <v>CM PL C2-1 Bricks/Blocks</v>
      </c>
    </row>
    <row r="65" spans="1:15">
      <c r="A65" s="49" t="s">
        <v>885</v>
      </c>
      <c r="B65" s="49" t="s">
        <v>885</v>
      </c>
      <c r="C65" s="66" t="s">
        <v>827</v>
      </c>
      <c r="D65" s="66" t="s">
        <v>310</v>
      </c>
      <c r="E65" s="66">
        <v>2</v>
      </c>
      <c r="F65" s="66" t="s">
        <v>286</v>
      </c>
      <c r="G65" s="66">
        <v>2</v>
      </c>
      <c r="H65" s="66" t="s">
        <v>281</v>
      </c>
      <c r="J65" s="74" t="str">
        <f t="shared" si="0"/>
        <v>CM CF C Sales Office</v>
      </c>
      <c r="K65" s="75" t="str">
        <f t="shared" si="1"/>
        <v>CM CF C2 Brickwork</v>
      </c>
      <c r="L65" s="76" t="str">
        <f t="shared" si="2"/>
        <v>CM CF C2-2 Mortar</v>
      </c>
      <c r="M65" s="70" t="str">
        <f t="shared" si="3"/>
        <v>CM PL C Sales Office</v>
      </c>
      <c r="N65" s="71" t="str">
        <f t="shared" si="4"/>
        <v>CM PL C2 Brickwork</v>
      </c>
      <c r="O65" s="72" t="str">
        <f t="shared" si="5"/>
        <v>CM PL C2-2 Mortar</v>
      </c>
    </row>
    <row r="66" spans="1:15">
      <c r="A66" s="49" t="s">
        <v>885</v>
      </c>
      <c r="B66" s="49" t="s">
        <v>885</v>
      </c>
      <c r="C66" s="66" t="s">
        <v>827</v>
      </c>
      <c r="D66" s="66" t="s">
        <v>310</v>
      </c>
      <c r="E66" s="66">
        <v>2</v>
      </c>
      <c r="F66" s="66" t="s">
        <v>286</v>
      </c>
      <c r="G66" s="66">
        <v>3</v>
      </c>
      <c r="H66" s="66" t="s">
        <v>277</v>
      </c>
      <c r="J66" s="74" t="str">
        <f t="shared" si="0"/>
        <v>CM CF C Sales Office</v>
      </c>
      <c r="K66" s="75" t="str">
        <f t="shared" si="1"/>
        <v>CM CF C2 Brickwork</v>
      </c>
      <c r="L66" s="76" t="str">
        <f t="shared" si="2"/>
        <v>CM CF C2-3 Brickwork Labour</v>
      </c>
      <c r="M66" s="70" t="str">
        <f t="shared" si="3"/>
        <v>CM PL C Sales Office</v>
      </c>
      <c r="N66" s="71" t="str">
        <f t="shared" si="4"/>
        <v>CM PL C2 Brickwork</v>
      </c>
      <c r="O66" s="72" t="str">
        <f t="shared" si="5"/>
        <v>CM PL C2-3 Brickwork Labour</v>
      </c>
    </row>
    <row r="67" spans="1:15">
      <c r="A67" s="49" t="s">
        <v>885</v>
      </c>
      <c r="B67" s="49" t="s">
        <v>885</v>
      </c>
      <c r="C67" s="66" t="s">
        <v>827</v>
      </c>
      <c r="D67" s="66" t="s">
        <v>310</v>
      </c>
      <c r="E67" s="66">
        <v>3</v>
      </c>
      <c r="F67" s="66" t="s">
        <v>275</v>
      </c>
      <c r="G67" s="66">
        <v>1</v>
      </c>
      <c r="H67" s="66" t="s">
        <v>273</v>
      </c>
      <c r="J67" s="74" t="str">
        <f t="shared" si="0"/>
        <v>CM CF C Sales Office</v>
      </c>
      <c r="K67" s="75" t="str">
        <f t="shared" si="1"/>
        <v>CM CF C3 Internal Plaster</v>
      </c>
      <c r="L67" s="76" t="str">
        <f t="shared" si="2"/>
        <v>CM CF C3-1 Plaster Material</v>
      </c>
      <c r="M67" s="70" t="str">
        <f t="shared" si="3"/>
        <v>CM PL C Sales Office</v>
      </c>
      <c r="N67" s="71" t="str">
        <f t="shared" si="4"/>
        <v>CM PL C3 Internal Plaster</v>
      </c>
      <c r="O67" s="72" t="str">
        <f t="shared" si="5"/>
        <v>CM PL C3-1 Plaster Material</v>
      </c>
    </row>
    <row r="68" spans="1:15">
      <c r="A68" s="49" t="s">
        <v>885</v>
      </c>
      <c r="B68" s="49" t="s">
        <v>885</v>
      </c>
      <c r="C68" s="66" t="s">
        <v>827</v>
      </c>
      <c r="D68" s="66" t="s">
        <v>310</v>
      </c>
      <c r="E68" s="66">
        <v>3</v>
      </c>
      <c r="F68" s="66" t="s">
        <v>275</v>
      </c>
      <c r="G68" s="66">
        <v>2</v>
      </c>
      <c r="H68" s="66" t="s">
        <v>269</v>
      </c>
      <c r="J68" s="74" t="str">
        <f t="shared" si="0"/>
        <v>CM CF C Sales Office</v>
      </c>
      <c r="K68" s="75" t="str">
        <f t="shared" si="1"/>
        <v>CM CF C3 Internal Plaster</v>
      </c>
      <c r="L68" s="76" t="str">
        <f t="shared" si="2"/>
        <v>CM CF C3-2 Plaster Labour</v>
      </c>
      <c r="M68" s="70" t="str">
        <f t="shared" si="3"/>
        <v>CM PL C Sales Office</v>
      </c>
      <c r="N68" s="71" t="str">
        <f t="shared" si="4"/>
        <v>CM PL C3 Internal Plaster</v>
      </c>
      <c r="O68" s="72" t="str">
        <f t="shared" si="5"/>
        <v>CM PL C3-2 Plaster Labour</v>
      </c>
    </row>
    <row r="69" spans="1:15">
      <c r="A69" s="49" t="s">
        <v>885</v>
      </c>
      <c r="B69" s="49" t="s">
        <v>885</v>
      </c>
      <c r="C69" s="66" t="s">
        <v>827</v>
      </c>
      <c r="D69" s="66" t="s">
        <v>310</v>
      </c>
      <c r="E69" s="66">
        <v>4</v>
      </c>
      <c r="F69" s="66" t="s">
        <v>267</v>
      </c>
      <c r="G69" s="66">
        <v>1</v>
      </c>
      <c r="H69" s="66" t="s">
        <v>265</v>
      </c>
      <c r="J69" s="74" t="str">
        <f t="shared" si="0"/>
        <v>CM CF C Sales Office</v>
      </c>
      <c r="K69" s="75" t="str">
        <f t="shared" si="1"/>
        <v>CM CF C4 External Plaster</v>
      </c>
      <c r="L69" s="76" t="str">
        <f t="shared" si="2"/>
        <v>CM CF C4-1 External Plaster Material</v>
      </c>
      <c r="M69" s="70" t="str">
        <f t="shared" si="3"/>
        <v>CM PL C Sales Office</v>
      </c>
      <c r="N69" s="71" t="str">
        <f t="shared" si="4"/>
        <v>CM PL C4 External Plaster</v>
      </c>
      <c r="O69" s="72" t="str">
        <f t="shared" si="5"/>
        <v>CM PL C4-1 External Plaster Material</v>
      </c>
    </row>
    <row r="70" spans="1:15">
      <c r="A70" s="49" t="s">
        <v>885</v>
      </c>
      <c r="B70" s="49" t="s">
        <v>885</v>
      </c>
      <c r="C70" s="66" t="s">
        <v>827</v>
      </c>
      <c r="D70" s="66" t="s">
        <v>310</v>
      </c>
      <c r="E70" s="66">
        <v>4</v>
      </c>
      <c r="F70" s="66" t="s">
        <v>267</v>
      </c>
      <c r="G70" s="66">
        <v>2</v>
      </c>
      <c r="H70" s="66" t="s">
        <v>261</v>
      </c>
      <c r="J70" s="74" t="str">
        <f t="shared" si="0"/>
        <v>CM CF C Sales Office</v>
      </c>
      <c r="K70" s="75" t="str">
        <f t="shared" si="1"/>
        <v>CM CF C4 External Plaster</v>
      </c>
      <c r="L70" s="76" t="str">
        <f t="shared" si="2"/>
        <v>CM CF C4-2 External Plaster Labour</v>
      </c>
      <c r="M70" s="70" t="str">
        <f t="shared" si="3"/>
        <v>CM PL C Sales Office</v>
      </c>
      <c r="N70" s="71" t="str">
        <f t="shared" si="4"/>
        <v>CM PL C4 External Plaster</v>
      </c>
      <c r="O70" s="72" t="str">
        <f t="shared" si="5"/>
        <v>CM PL C4-2 External Plaster Labour</v>
      </c>
    </row>
    <row r="71" spans="1:15">
      <c r="A71" s="49" t="s">
        <v>885</v>
      </c>
      <c r="B71" s="49" t="s">
        <v>885</v>
      </c>
      <c r="C71" s="66" t="s">
        <v>827</v>
      </c>
      <c r="D71" s="66" t="s">
        <v>310</v>
      </c>
      <c r="E71" s="66">
        <v>5</v>
      </c>
      <c r="F71" s="66" t="s">
        <v>259</v>
      </c>
      <c r="G71" s="66">
        <v>1</v>
      </c>
      <c r="H71" s="66" t="s">
        <v>257</v>
      </c>
      <c r="J71" s="74" t="str">
        <f t="shared" si="0"/>
        <v>CM CF C Sales Office</v>
      </c>
      <c r="K71" s="75" t="str">
        <f t="shared" si="1"/>
        <v>CM CF C5 Flooring</v>
      </c>
      <c r="L71" s="76" t="str">
        <f t="shared" si="2"/>
        <v>CM CF C5-1 Tiles</v>
      </c>
      <c r="M71" s="70" t="str">
        <f t="shared" si="3"/>
        <v>CM PL C Sales Office</v>
      </c>
      <c r="N71" s="71" t="str">
        <f t="shared" si="4"/>
        <v>CM PL C5 Flooring</v>
      </c>
      <c r="O71" s="72" t="str">
        <f t="shared" si="5"/>
        <v>CM PL C5-1 Tiles</v>
      </c>
    </row>
    <row r="72" spans="1:15">
      <c r="A72" s="49" t="s">
        <v>885</v>
      </c>
      <c r="B72" s="49" t="s">
        <v>885</v>
      </c>
      <c r="C72" s="66" t="s">
        <v>827</v>
      </c>
      <c r="D72" s="66" t="s">
        <v>310</v>
      </c>
      <c r="E72" s="66">
        <v>5</v>
      </c>
      <c r="F72" s="66" t="s">
        <v>259</v>
      </c>
      <c r="G72" s="66">
        <v>2</v>
      </c>
      <c r="H72" s="66" t="s">
        <v>254</v>
      </c>
      <c r="J72" s="74" t="str">
        <f t="shared" si="0"/>
        <v>CM CF C Sales Office</v>
      </c>
      <c r="K72" s="75" t="str">
        <f t="shared" si="1"/>
        <v>CM CF C5 Flooring</v>
      </c>
      <c r="L72" s="76" t="str">
        <f t="shared" si="2"/>
        <v>CM CF C5-2 Marble/Granite</v>
      </c>
      <c r="M72" s="70" t="str">
        <f t="shared" si="3"/>
        <v>CM PL C Sales Office</v>
      </c>
      <c r="N72" s="71" t="str">
        <f t="shared" si="4"/>
        <v>CM PL C5 Flooring</v>
      </c>
      <c r="O72" s="72" t="str">
        <f t="shared" si="5"/>
        <v>CM PL C5-2 Marble/Granite</v>
      </c>
    </row>
    <row r="73" spans="1:15">
      <c r="A73" s="49" t="s">
        <v>885</v>
      </c>
      <c r="B73" s="49" t="s">
        <v>885</v>
      </c>
      <c r="C73" s="66" t="s">
        <v>827</v>
      </c>
      <c r="D73" s="66" t="s">
        <v>310</v>
      </c>
      <c r="E73" s="66">
        <v>5</v>
      </c>
      <c r="F73" s="66" t="s">
        <v>259</v>
      </c>
      <c r="G73" s="66">
        <v>3</v>
      </c>
      <c r="H73" s="66" t="s">
        <v>251</v>
      </c>
      <c r="J73" s="74" t="str">
        <f t="shared" si="0"/>
        <v>CM CF C Sales Office</v>
      </c>
      <c r="K73" s="75" t="str">
        <f t="shared" si="1"/>
        <v>CM CF C5 Flooring</v>
      </c>
      <c r="L73" s="76" t="str">
        <f t="shared" si="2"/>
        <v>CM CF C5-3 Flooring Labour</v>
      </c>
      <c r="M73" s="70" t="str">
        <f t="shared" si="3"/>
        <v>CM PL C Sales Office</v>
      </c>
      <c r="N73" s="71" t="str">
        <f t="shared" si="4"/>
        <v>CM PL C5 Flooring</v>
      </c>
      <c r="O73" s="72" t="str">
        <f t="shared" si="5"/>
        <v>CM PL C5-3 Flooring Labour</v>
      </c>
    </row>
    <row r="74" spans="1:15">
      <c r="A74" s="49" t="s">
        <v>885</v>
      </c>
      <c r="B74" s="49" t="s">
        <v>885</v>
      </c>
      <c r="C74" s="66" t="s">
        <v>827</v>
      </c>
      <c r="D74" s="66" t="s">
        <v>310</v>
      </c>
      <c r="E74" s="66">
        <v>5</v>
      </c>
      <c r="F74" s="66" t="s">
        <v>259</v>
      </c>
      <c r="G74" s="66">
        <v>4</v>
      </c>
      <c r="H74" s="66" t="s">
        <v>247</v>
      </c>
      <c r="J74" s="74" t="str">
        <f t="shared" si="0"/>
        <v>CM CF C Sales Office</v>
      </c>
      <c r="K74" s="75" t="str">
        <f t="shared" si="1"/>
        <v>CM CF C5 Flooring</v>
      </c>
      <c r="L74" s="76" t="str">
        <f t="shared" si="2"/>
        <v>CM CF C5-4 Single Disc Scrubber</v>
      </c>
      <c r="M74" s="70" t="str">
        <f t="shared" si="3"/>
        <v>CM PL C Sales Office</v>
      </c>
      <c r="N74" s="71" t="str">
        <f t="shared" si="4"/>
        <v>CM PL C5 Flooring</v>
      </c>
      <c r="O74" s="72" t="str">
        <f t="shared" si="5"/>
        <v>CM PL C5-4 Single Disc Scrubber</v>
      </c>
    </row>
    <row r="75" spans="1:15">
      <c r="A75" s="49" t="s">
        <v>885</v>
      </c>
      <c r="B75" s="49" t="s">
        <v>885</v>
      </c>
      <c r="C75" s="66" t="s">
        <v>827</v>
      </c>
      <c r="D75" s="66" t="s">
        <v>310</v>
      </c>
      <c r="E75" s="66">
        <v>6</v>
      </c>
      <c r="F75" s="66" t="s">
        <v>246</v>
      </c>
      <c r="G75" s="66">
        <v>1</v>
      </c>
      <c r="H75" s="66" t="s">
        <v>244</v>
      </c>
      <c r="J75" s="74" t="str">
        <f t="shared" si="0"/>
        <v>CM CF C Sales Office</v>
      </c>
      <c r="K75" s="75" t="str">
        <f t="shared" si="1"/>
        <v>CM CF C6 Doors &amp; Windows</v>
      </c>
      <c r="L75" s="76" t="str">
        <f t="shared" si="2"/>
        <v>CM CF C6-1 Door Frames</v>
      </c>
      <c r="M75" s="70" t="str">
        <f t="shared" si="3"/>
        <v>CM PL C Sales Office</v>
      </c>
      <c r="N75" s="71" t="str">
        <f t="shared" si="4"/>
        <v>CM PL C6 Doors &amp; Windows</v>
      </c>
      <c r="O75" s="72" t="str">
        <f t="shared" si="5"/>
        <v>CM PL C6-1 Door Frames</v>
      </c>
    </row>
    <row r="76" spans="1:15">
      <c r="A76" s="49" t="s">
        <v>885</v>
      </c>
      <c r="B76" s="49" t="s">
        <v>885</v>
      </c>
      <c r="C76" s="66" t="s">
        <v>827</v>
      </c>
      <c r="D76" s="66" t="s">
        <v>310</v>
      </c>
      <c r="E76" s="66">
        <v>6</v>
      </c>
      <c r="F76" s="66" t="s">
        <v>246</v>
      </c>
      <c r="G76" s="66">
        <v>2</v>
      </c>
      <c r="H76" s="66" t="s">
        <v>241</v>
      </c>
      <c r="J76" s="74" t="str">
        <f t="shared" si="0"/>
        <v>CM CF C Sales Office</v>
      </c>
      <c r="K76" s="75" t="str">
        <f t="shared" si="1"/>
        <v>CM CF C6 Doors &amp; Windows</v>
      </c>
      <c r="L76" s="76" t="str">
        <f t="shared" si="2"/>
        <v>CM CF C6-2 Door Shutters</v>
      </c>
      <c r="M76" s="70" t="str">
        <f t="shared" si="3"/>
        <v>CM PL C Sales Office</v>
      </c>
      <c r="N76" s="71" t="str">
        <f t="shared" si="4"/>
        <v>CM PL C6 Doors &amp; Windows</v>
      </c>
      <c r="O76" s="72" t="str">
        <f t="shared" si="5"/>
        <v>CM PL C6-2 Door Shutters</v>
      </c>
    </row>
    <row r="77" spans="1:15">
      <c r="A77" s="49" t="s">
        <v>885</v>
      </c>
      <c r="B77" s="49" t="s">
        <v>885</v>
      </c>
      <c r="C77" s="66" t="s">
        <v>827</v>
      </c>
      <c r="D77" s="66" t="s">
        <v>310</v>
      </c>
      <c r="E77" s="66">
        <v>6</v>
      </c>
      <c r="F77" s="66" t="s">
        <v>246</v>
      </c>
      <c r="G77" s="66">
        <v>3</v>
      </c>
      <c r="H77" s="66" t="s">
        <v>238</v>
      </c>
      <c r="J77" s="74" t="str">
        <f t="shared" si="0"/>
        <v>CM CF C Sales Office</v>
      </c>
      <c r="K77" s="75" t="str">
        <f t="shared" si="1"/>
        <v>CM CF C6 Doors &amp; Windows</v>
      </c>
      <c r="L77" s="76" t="str">
        <f t="shared" si="2"/>
        <v>CM CF C6-3 Window Frames</v>
      </c>
      <c r="M77" s="70" t="str">
        <f t="shared" si="3"/>
        <v>CM PL C Sales Office</v>
      </c>
      <c r="N77" s="71" t="str">
        <f t="shared" si="4"/>
        <v>CM PL C6 Doors &amp; Windows</v>
      </c>
      <c r="O77" s="72" t="str">
        <f t="shared" si="5"/>
        <v>CM PL C6-3 Window Frames</v>
      </c>
    </row>
    <row r="78" spans="1:15">
      <c r="A78" s="49" t="s">
        <v>885</v>
      </c>
      <c r="B78" s="49" t="s">
        <v>885</v>
      </c>
      <c r="C78" s="66" t="s">
        <v>827</v>
      </c>
      <c r="D78" s="66" t="s">
        <v>310</v>
      </c>
      <c r="E78" s="66">
        <v>6</v>
      </c>
      <c r="F78" s="66" t="s">
        <v>246</v>
      </c>
      <c r="G78" s="66">
        <v>4</v>
      </c>
      <c r="H78" s="66" t="s">
        <v>235</v>
      </c>
      <c r="J78" s="74" t="str">
        <f t="shared" si="0"/>
        <v>CM CF C Sales Office</v>
      </c>
      <c r="K78" s="75" t="str">
        <f t="shared" si="1"/>
        <v>CM CF C6 Doors &amp; Windows</v>
      </c>
      <c r="L78" s="76" t="str">
        <f t="shared" si="2"/>
        <v>CM CF C6-4 Glass</v>
      </c>
      <c r="M78" s="70" t="str">
        <f t="shared" si="3"/>
        <v>CM PL C Sales Office</v>
      </c>
      <c r="N78" s="71" t="str">
        <f t="shared" si="4"/>
        <v>CM PL C6 Doors &amp; Windows</v>
      </c>
      <c r="O78" s="72" t="str">
        <f t="shared" si="5"/>
        <v>CM PL C6-4 Glass</v>
      </c>
    </row>
    <row r="79" spans="1:15">
      <c r="A79" s="49" t="s">
        <v>885</v>
      </c>
      <c r="B79" s="49" t="s">
        <v>885</v>
      </c>
      <c r="C79" s="66" t="s">
        <v>827</v>
      </c>
      <c r="D79" s="66" t="s">
        <v>310</v>
      </c>
      <c r="E79" s="66">
        <v>6</v>
      </c>
      <c r="F79" s="66" t="s">
        <v>246</v>
      </c>
      <c r="G79" s="66">
        <v>5</v>
      </c>
      <c r="H79" s="66" t="s">
        <v>232</v>
      </c>
      <c r="J79" s="74" t="str">
        <f t="shared" si="0"/>
        <v>CM CF C Sales Office</v>
      </c>
      <c r="K79" s="75" t="str">
        <f t="shared" si="1"/>
        <v>CM CF C6 Doors &amp; Windows</v>
      </c>
      <c r="L79" s="76" t="str">
        <f t="shared" si="2"/>
        <v>CM CF C6-5 Carpenter Work---Labour</v>
      </c>
      <c r="M79" s="70" t="str">
        <f t="shared" si="3"/>
        <v>CM PL C Sales Office</v>
      </c>
      <c r="N79" s="71" t="str">
        <f t="shared" si="4"/>
        <v>CM PL C6 Doors &amp; Windows</v>
      </c>
      <c r="O79" s="72" t="str">
        <f t="shared" si="5"/>
        <v>CM PL C6-5 Carpenter Work---Labour</v>
      </c>
    </row>
    <row r="80" spans="1:15">
      <c r="A80" s="49" t="s">
        <v>885</v>
      </c>
      <c r="B80" s="49" t="s">
        <v>885</v>
      </c>
      <c r="C80" s="66" t="s">
        <v>827</v>
      </c>
      <c r="D80" s="66" t="s">
        <v>310</v>
      </c>
      <c r="E80" s="66">
        <v>7</v>
      </c>
      <c r="F80" s="66" t="s">
        <v>230</v>
      </c>
      <c r="G80" s="66">
        <v>1</v>
      </c>
      <c r="H80" s="66" t="s">
        <v>228</v>
      </c>
      <c r="J80" s="74" t="str">
        <f t="shared" si="0"/>
        <v>CM CF C Sales Office</v>
      </c>
      <c r="K80" s="75" t="str">
        <f t="shared" si="1"/>
        <v>CM CF C7 Electrical</v>
      </c>
      <c r="L80" s="76" t="str">
        <f t="shared" si="2"/>
        <v>CM CF C7-1 Wires</v>
      </c>
      <c r="M80" s="70" t="str">
        <f t="shared" si="3"/>
        <v>CM PL C Sales Office</v>
      </c>
      <c r="N80" s="71" t="str">
        <f t="shared" si="4"/>
        <v>CM PL C7 Electrical</v>
      </c>
      <c r="O80" s="72" t="str">
        <f t="shared" si="5"/>
        <v>CM PL C7-1 Wires</v>
      </c>
    </row>
    <row r="81" spans="1:15">
      <c r="A81" s="49" t="s">
        <v>885</v>
      </c>
      <c r="B81" s="49" t="s">
        <v>885</v>
      </c>
      <c r="C81" s="66" t="s">
        <v>827</v>
      </c>
      <c r="D81" s="66" t="s">
        <v>310</v>
      </c>
      <c r="E81" s="66">
        <v>7</v>
      </c>
      <c r="F81" s="66" t="s">
        <v>230</v>
      </c>
      <c r="G81" s="66">
        <v>2</v>
      </c>
      <c r="H81" s="66" t="s">
        <v>225</v>
      </c>
      <c r="J81" s="74" t="str">
        <f t="shared" si="0"/>
        <v>CM CF C Sales Office</v>
      </c>
      <c r="K81" s="75" t="str">
        <f t="shared" si="1"/>
        <v>CM CF C7 Electrical</v>
      </c>
      <c r="L81" s="76" t="str">
        <f t="shared" si="2"/>
        <v>CM CF C7-2 Switches</v>
      </c>
      <c r="M81" s="70" t="str">
        <f t="shared" si="3"/>
        <v>CM PL C Sales Office</v>
      </c>
      <c r="N81" s="71" t="str">
        <f t="shared" si="4"/>
        <v>CM PL C7 Electrical</v>
      </c>
      <c r="O81" s="72" t="str">
        <f t="shared" si="5"/>
        <v>CM PL C7-2 Switches</v>
      </c>
    </row>
    <row r="82" spans="1:15">
      <c r="A82" s="49" t="s">
        <v>885</v>
      </c>
      <c r="B82" s="49" t="s">
        <v>885</v>
      </c>
      <c r="C82" s="66" t="s">
        <v>827</v>
      </c>
      <c r="D82" s="66" t="s">
        <v>310</v>
      </c>
      <c r="E82" s="66">
        <v>7</v>
      </c>
      <c r="F82" s="66" t="s">
        <v>230</v>
      </c>
      <c r="G82" s="66">
        <v>3</v>
      </c>
      <c r="H82" s="66" t="s">
        <v>222</v>
      </c>
      <c r="J82" s="74" t="str">
        <f t="shared" si="0"/>
        <v>CM CF C Sales Office</v>
      </c>
      <c r="K82" s="75" t="str">
        <f t="shared" si="1"/>
        <v>CM CF C7 Electrical</v>
      </c>
      <c r="L82" s="76" t="str">
        <f t="shared" si="2"/>
        <v>CM CF C7-3 DB Panels</v>
      </c>
      <c r="M82" s="70" t="str">
        <f t="shared" si="3"/>
        <v>CM PL C Sales Office</v>
      </c>
      <c r="N82" s="71" t="str">
        <f t="shared" si="4"/>
        <v>CM PL C7 Electrical</v>
      </c>
      <c r="O82" s="72" t="str">
        <f t="shared" si="5"/>
        <v>CM PL C7-3 DB Panels</v>
      </c>
    </row>
    <row r="83" spans="1:15">
      <c r="A83" s="49" t="s">
        <v>885</v>
      </c>
      <c r="B83" s="49" t="s">
        <v>885</v>
      </c>
      <c r="C83" s="66" t="s">
        <v>827</v>
      </c>
      <c r="D83" s="66" t="s">
        <v>310</v>
      </c>
      <c r="E83" s="66">
        <v>7</v>
      </c>
      <c r="F83" s="66" t="s">
        <v>230</v>
      </c>
      <c r="G83" s="66">
        <v>4</v>
      </c>
      <c r="H83" s="66" t="s">
        <v>219</v>
      </c>
      <c r="J83" s="74" t="str">
        <f t="shared" si="0"/>
        <v>CM CF C Sales Office</v>
      </c>
      <c r="K83" s="75" t="str">
        <f t="shared" si="1"/>
        <v>CM CF C7 Electrical</v>
      </c>
      <c r="L83" s="76" t="str">
        <f t="shared" si="2"/>
        <v>CM CF C7-4 Electrical Labour</v>
      </c>
      <c r="M83" s="70" t="str">
        <f t="shared" si="3"/>
        <v>CM PL C Sales Office</v>
      </c>
      <c r="N83" s="71" t="str">
        <f t="shared" si="4"/>
        <v>CM PL C7 Electrical</v>
      </c>
      <c r="O83" s="72" t="str">
        <f t="shared" si="5"/>
        <v>CM PL C7-4 Electrical Labour</v>
      </c>
    </row>
    <row r="84" spans="1:15">
      <c r="A84" s="49" t="s">
        <v>885</v>
      </c>
      <c r="B84" s="49" t="s">
        <v>885</v>
      </c>
      <c r="C84" s="66" t="s">
        <v>827</v>
      </c>
      <c r="D84" s="66" t="s">
        <v>310</v>
      </c>
      <c r="E84" s="66">
        <v>7</v>
      </c>
      <c r="F84" s="66" t="s">
        <v>230</v>
      </c>
      <c r="G84" s="66">
        <v>5</v>
      </c>
      <c r="H84" s="66" t="s">
        <v>217</v>
      </c>
      <c r="J84" s="74" t="str">
        <f t="shared" si="0"/>
        <v>CM CF C Sales Office</v>
      </c>
      <c r="K84" s="75" t="str">
        <f t="shared" si="1"/>
        <v>CM CF C7 Electrical</v>
      </c>
      <c r="L84" s="76" t="str">
        <f t="shared" si="2"/>
        <v>CM CF C7-5 Lights</v>
      </c>
      <c r="M84" s="70" t="str">
        <f t="shared" si="3"/>
        <v>CM PL C Sales Office</v>
      </c>
      <c r="N84" s="71" t="str">
        <f t="shared" si="4"/>
        <v>CM PL C7 Electrical</v>
      </c>
      <c r="O84" s="72" t="str">
        <f t="shared" si="5"/>
        <v>CM PL C7-5 Lights</v>
      </c>
    </row>
    <row r="85" spans="1:15">
      <c r="A85" s="49" t="s">
        <v>885</v>
      </c>
      <c r="B85" s="49" t="s">
        <v>885</v>
      </c>
      <c r="C85" s="66" t="s">
        <v>827</v>
      </c>
      <c r="D85" s="66" t="s">
        <v>310</v>
      </c>
      <c r="E85" s="66">
        <v>7</v>
      </c>
      <c r="F85" s="66" t="s">
        <v>230</v>
      </c>
      <c r="G85" s="66">
        <v>6</v>
      </c>
      <c r="H85" s="66" t="s">
        <v>213</v>
      </c>
      <c r="J85" s="74" t="str">
        <f t="shared" si="0"/>
        <v>CM CF C Sales Office</v>
      </c>
      <c r="K85" s="75" t="str">
        <f t="shared" si="1"/>
        <v>CM CF C7 Electrical</v>
      </c>
      <c r="L85" s="76" t="str">
        <f t="shared" si="2"/>
        <v>CM CF C7-6 Other Electric &amp; Hardware Material</v>
      </c>
      <c r="M85" s="70" t="str">
        <f t="shared" si="3"/>
        <v>CM PL C Sales Office</v>
      </c>
      <c r="N85" s="71" t="str">
        <f t="shared" si="4"/>
        <v>CM PL C7 Electrical</v>
      </c>
      <c r="O85" s="72" t="str">
        <f t="shared" si="5"/>
        <v>CM PL C7-6 Other Electric &amp; Hardware Material</v>
      </c>
    </row>
    <row r="86" spans="1:15">
      <c r="A86" s="49" t="s">
        <v>885</v>
      </c>
      <c r="B86" s="49" t="s">
        <v>885</v>
      </c>
      <c r="C86" s="66" t="s">
        <v>827</v>
      </c>
      <c r="D86" s="66" t="s">
        <v>310</v>
      </c>
      <c r="E86" s="66">
        <v>8</v>
      </c>
      <c r="F86" s="66" t="s">
        <v>212</v>
      </c>
      <c r="G86" s="66">
        <v>1</v>
      </c>
      <c r="H86" s="66" t="s">
        <v>210</v>
      </c>
      <c r="J86" s="74" t="str">
        <f t="shared" si="0"/>
        <v>CM CF C Sales Office</v>
      </c>
      <c r="K86" s="75" t="str">
        <f t="shared" si="1"/>
        <v>CM CF C8 Plumbing</v>
      </c>
      <c r="L86" s="76" t="str">
        <f t="shared" si="2"/>
        <v>CM CF C8-1 Pipes</v>
      </c>
      <c r="M86" s="70" t="str">
        <f t="shared" si="3"/>
        <v>CM PL C Sales Office</v>
      </c>
      <c r="N86" s="71" t="str">
        <f t="shared" si="4"/>
        <v>CM PL C8 Plumbing</v>
      </c>
      <c r="O86" s="72" t="str">
        <f t="shared" si="5"/>
        <v>CM PL C8-1 Pipes</v>
      </c>
    </row>
    <row r="87" spans="1:15">
      <c r="A87" s="49" t="s">
        <v>885</v>
      </c>
      <c r="B87" s="49" t="s">
        <v>885</v>
      </c>
      <c r="C87" s="66" t="s">
        <v>827</v>
      </c>
      <c r="D87" s="66" t="s">
        <v>310</v>
      </c>
      <c r="E87" s="66">
        <v>8</v>
      </c>
      <c r="F87" s="66" t="s">
        <v>212</v>
      </c>
      <c r="G87" s="66">
        <v>2</v>
      </c>
      <c r="H87" s="66" t="s">
        <v>207</v>
      </c>
      <c r="J87" s="74" t="str">
        <f t="shared" si="0"/>
        <v>CM CF C Sales Office</v>
      </c>
      <c r="K87" s="75" t="str">
        <f t="shared" si="1"/>
        <v>CM CF C8 Plumbing</v>
      </c>
      <c r="L87" s="76" t="str">
        <f t="shared" si="2"/>
        <v>CM CF C8-2 Fittings</v>
      </c>
      <c r="M87" s="70" t="str">
        <f t="shared" si="3"/>
        <v>CM PL C Sales Office</v>
      </c>
      <c r="N87" s="71" t="str">
        <f t="shared" si="4"/>
        <v>CM PL C8 Plumbing</v>
      </c>
      <c r="O87" s="72" t="str">
        <f t="shared" si="5"/>
        <v>CM PL C8-2 Fittings</v>
      </c>
    </row>
    <row r="88" spans="1:15">
      <c r="A88" s="49" t="s">
        <v>885</v>
      </c>
      <c r="B88" s="49" t="s">
        <v>885</v>
      </c>
      <c r="C88" s="66" t="s">
        <v>827</v>
      </c>
      <c r="D88" s="66" t="s">
        <v>310</v>
      </c>
      <c r="E88" s="66">
        <v>8</v>
      </c>
      <c r="F88" s="66" t="s">
        <v>212</v>
      </c>
      <c r="G88" s="66">
        <v>3</v>
      </c>
      <c r="H88" s="66" t="s">
        <v>203</v>
      </c>
      <c r="J88" s="74" t="str">
        <f t="shared" si="0"/>
        <v>CM CF C Sales Office</v>
      </c>
      <c r="K88" s="75" t="str">
        <f t="shared" si="1"/>
        <v>CM CF C8 Plumbing</v>
      </c>
      <c r="L88" s="76" t="str">
        <f t="shared" si="2"/>
        <v>CM CF C8-3 Plumbing Labour</v>
      </c>
      <c r="M88" s="70" t="str">
        <f t="shared" si="3"/>
        <v>CM PL C Sales Office</v>
      </c>
      <c r="N88" s="71" t="str">
        <f t="shared" si="4"/>
        <v>CM PL C8 Plumbing</v>
      </c>
      <c r="O88" s="72" t="str">
        <f t="shared" si="5"/>
        <v>CM PL C8-3 Plumbing Labour</v>
      </c>
    </row>
    <row r="89" spans="1:15">
      <c r="A89" s="49" t="s">
        <v>885</v>
      </c>
      <c r="B89" s="49" t="s">
        <v>885</v>
      </c>
      <c r="C89" s="66" t="s">
        <v>827</v>
      </c>
      <c r="D89" s="66" t="s">
        <v>310</v>
      </c>
      <c r="E89" s="66">
        <v>9</v>
      </c>
      <c r="F89" s="66" t="s">
        <v>201</v>
      </c>
      <c r="G89" s="66">
        <v>1</v>
      </c>
      <c r="H89" s="66" t="s">
        <v>199</v>
      </c>
      <c r="J89" s="74" t="str">
        <f t="shared" si="0"/>
        <v>CM CF C Sales Office</v>
      </c>
      <c r="K89" s="75" t="str">
        <f t="shared" si="1"/>
        <v>CM CF C9 Waterproofing</v>
      </c>
      <c r="L89" s="76" t="str">
        <f t="shared" si="2"/>
        <v>CM CF C9-1 Chemical Waterproofing</v>
      </c>
      <c r="M89" s="70" t="str">
        <f t="shared" si="3"/>
        <v>CM PL C Sales Office</v>
      </c>
      <c r="N89" s="71" t="str">
        <f t="shared" si="4"/>
        <v>CM PL C9 Waterproofing</v>
      </c>
      <c r="O89" s="72" t="str">
        <f t="shared" si="5"/>
        <v>CM PL C9-1 Chemical Waterproofing</v>
      </c>
    </row>
    <row r="90" spans="1:15">
      <c r="A90" s="49" t="s">
        <v>885</v>
      </c>
      <c r="B90" s="49" t="s">
        <v>885</v>
      </c>
      <c r="C90" s="66" t="s">
        <v>827</v>
      </c>
      <c r="D90" s="66" t="s">
        <v>310</v>
      </c>
      <c r="E90" s="66">
        <v>9</v>
      </c>
      <c r="F90" s="66" t="s">
        <v>201</v>
      </c>
      <c r="G90" s="66">
        <v>2</v>
      </c>
      <c r="H90" s="66" t="s">
        <v>195</v>
      </c>
      <c r="J90" s="74" t="str">
        <f t="shared" si="0"/>
        <v>CM CF C Sales Office</v>
      </c>
      <c r="K90" s="75" t="str">
        <f t="shared" si="1"/>
        <v>CM CF C9 Waterproofing</v>
      </c>
      <c r="L90" s="76" t="str">
        <f t="shared" si="2"/>
        <v>CM CF C9-2 Waterproofing Labour</v>
      </c>
      <c r="M90" s="70" t="str">
        <f t="shared" si="3"/>
        <v>CM PL C Sales Office</v>
      </c>
      <c r="N90" s="71" t="str">
        <f t="shared" si="4"/>
        <v>CM PL C9 Waterproofing</v>
      </c>
      <c r="O90" s="72" t="str">
        <f t="shared" si="5"/>
        <v>CM PL C9-2 Waterproofing Labour</v>
      </c>
    </row>
    <row r="91" spans="1:15">
      <c r="A91" s="49" t="s">
        <v>885</v>
      </c>
      <c r="B91" s="49" t="s">
        <v>885</v>
      </c>
      <c r="C91" s="66" t="s">
        <v>827</v>
      </c>
      <c r="D91" s="66" t="s">
        <v>310</v>
      </c>
      <c r="E91" s="66">
        <v>10</v>
      </c>
      <c r="F91" s="66" t="s">
        <v>193</v>
      </c>
      <c r="G91" s="66">
        <v>1</v>
      </c>
      <c r="H91" s="66" t="s">
        <v>191</v>
      </c>
      <c r="J91" s="74" t="str">
        <f t="shared" si="0"/>
        <v>CM CF C Sales Office</v>
      </c>
      <c r="K91" s="75" t="str">
        <f t="shared" si="1"/>
        <v>CM CF C10 Painting</v>
      </c>
      <c r="L91" s="76" t="str">
        <f t="shared" si="2"/>
        <v>CM CF C10-1 Primer</v>
      </c>
      <c r="M91" s="70" t="str">
        <f t="shared" si="3"/>
        <v>CM PL C Sales Office</v>
      </c>
      <c r="N91" s="71" t="str">
        <f t="shared" si="4"/>
        <v>CM PL C10 Painting</v>
      </c>
      <c r="O91" s="72" t="str">
        <f t="shared" si="5"/>
        <v>CM PL C10-1 Primer</v>
      </c>
    </row>
    <row r="92" spans="1:15">
      <c r="A92" s="49" t="s">
        <v>885</v>
      </c>
      <c r="B92" s="49" t="s">
        <v>885</v>
      </c>
      <c r="C92" s="66" t="s">
        <v>827</v>
      </c>
      <c r="D92" s="66" t="s">
        <v>310</v>
      </c>
      <c r="E92" s="66">
        <v>10</v>
      </c>
      <c r="F92" s="66" t="s">
        <v>193</v>
      </c>
      <c r="G92" s="66">
        <v>2</v>
      </c>
      <c r="H92" s="66" t="s">
        <v>188</v>
      </c>
      <c r="J92" s="74" t="str">
        <f t="shared" si="0"/>
        <v>CM CF C Sales Office</v>
      </c>
      <c r="K92" s="75" t="str">
        <f t="shared" si="1"/>
        <v>CM CF C10 Painting</v>
      </c>
      <c r="L92" s="76" t="str">
        <f t="shared" si="2"/>
        <v>CM CF C10-2 Paint</v>
      </c>
      <c r="M92" s="70" t="str">
        <f t="shared" si="3"/>
        <v>CM PL C Sales Office</v>
      </c>
      <c r="N92" s="71" t="str">
        <f t="shared" si="4"/>
        <v>CM PL C10 Painting</v>
      </c>
      <c r="O92" s="72" t="str">
        <f t="shared" si="5"/>
        <v>CM PL C10-2 Paint</v>
      </c>
    </row>
    <row r="93" spans="1:15">
      <c r="A93" s="49" t="s">
        <v>885</v>
      </c>
      <c r="B93" s="49" t="s">
        <v>885</v>
      </c>
      <c r="C93" s="66" t="s">
        <v>827</v>
      </c>
      <c r="D93" s="66" t="s">
        <v>310</v>
      </c>
      <c r="E93" s="66">
        <v>10</v>
      </c>
      <c r="F93" s="66" t="s">
        <v>193</v>
      </c>
      <c r="G93" s="66">
        <v>3</v>
      </c>
      <c r="H93" s="66" t="s">
        <v>184</v>
      </c>
      <c r="J93" s="74" t="str">
        <f t="shared" si="0"/>
        <v>CM CF C Sales Office</v>
      </c>
      <c r="K93" s="75" t="str">
        <f t="shared" si="1"/>
        <v>CM CF C10 Painting</v>
      </c>
      <c r="L93" s="76" t="str">
        <f t="shared" si="2"/>
        <v>CM CF C10-3 Painting Labour</v>
      </c>
      <c r="M93" s="70" t="str">
        <f t="shared" si="3"/>
        <v>CM PL C Sales Office</v>
      </c>
      <c r="N93" s="71" t="str">
        <f t="shared" si="4"/>
        <v>CM PL C10 Painting</v>
      </c>
      <c r="O93" s="72" t="str">
        <f t="shared" si="5"/>
        <v>CM PL C10-3 Painting Labour</v>
      </c>
    </row>
    <row r="94" spans="1:15">
      <c r="A94" s="49" t="s">
        <v>885</v>
      </c>
      <c r="B94" s="49" t="s">
        <v>885</v>
      </c>
      <c r="C94" s="66" t="s">
        <v>827</v>
      </c>
      <c r="D94" s="66" t="s">
        <v>310</v>
      </c>
      <c r="E94" s="66">
        <v>11</v>
      </c>
      <c r="F94" s="66" t="s">
        <v>181</v>
      </c>
      <c r="G94" s="66">
        <v>1</v>
      </c>
      <c r="H94" s="66" t="s">
        <v>181</v>
      </c>
      <c r="J94" s="74" t="str">
        <f t="shared" si="0"/>
        <v>CM CF C Sales Office</v>
      </c>
      <c r="K94" s="75" t="str">
        <f t="shared" si="1"/>
        <v>CM CF C11 Furniture/Equipments</v>
      </c>
      <c r="L94" s="77" t="str">
        <f t="shared" si="2"/>
        <v>CM CF C11-1 Furniture/Equipments</v>
      </c>
      <c r="M94" s="70" t="str">
        <f t="shared" si="3"/>
        <v>CM PL C Sales Office</v>
      </c>
      <c r="N94" s="71" t="str">
        <f t="shared" si="4"/>
        <v>CM PL C11 Furniture/Equipments</v>
      </c>
      <c r="O94" s="73" t="str">
        <f t="shared" si="5"/>
        <v>CM PL C11-1 Furniture/Equipments</v>
      </c>
    </row>
    <row r="95" spans="1:15">
      <c r="A95" s="49" t="s">
        <v>885</v>
      </c>
      <c r="B95" s="49" t="s">
        <v>885</v>
      </c>
      <c r="C95" s="66" t="s">
        <v>827</v>
      </c>
      <c r="D95" s="66" t="s">
        <v>310</v>
      </c>
      <c r="E95" s="66">
        <v>11</v>
      </c>
      <c r="F95" s="66" t="s">
        <v>181</v>
      </c>
      <c r="G95" s="66">
        <v>2</v>
      </c>
      <c r="H95" s="66" t="s">
        <v>177</v>
      </c>
      <c r="J95" s="74" t="str">
        <f t="shared" si="0"/>
        <v>CM CF C Sales Office</v>
      </c>
      <c r="K95" s="75" t="str">
        <f t="shared" si="1"/>
        <v>CM CF C11 Furniture/Equipments</v>
      </c>
      <c r="L95" s="76" t="str">
        <f t="shared" si="2"/>
        <v>CM CF C11-2 POP</v>
      </c>
      <c r="M95" s="70" t="str">
        <f t="shared" si="3"/>
        <v>CM PL C Sales Office</v>
      </c>
      <c r="N95" s="71" t="str">
        <f t="shared" si="4"/>
        <v>CM PL C11 Furniture/Equipments</v>
      </c>
      <c r="O95" s="72" t="str">
        <f t="shared" si="5"/>
        <v>CM PL C11-2 POP</v>
      </c>
    </row>
    <row r="96" spans="1:15">
      <c r="A96" s="49" t="s">
        <v>885</v>
      </c>
      <c r="B96" s="49" t="s">
        <v>885</v>
      </c>
      <c r="C96" s="66" t="s">
        <v>814</v>
      </c>
      <c r="D96" s="66" t="s">
        <v>445</v>
      </c>
      <c r="E96" s="66">
        <v>1</v>
      </c>
      <c r="F96" s="66" t="s">
        <v>309</v>
      </c>
      <c r="G96" s="66">
        <v>1</v>
      </c>
      <c r="H96" s="66" t="s">
        <v>307</v>
      </c>
      <c r="I96" s="55" t="s">
        <v>306</v>
      </c>
      <c r="J96" s="74" t="str">
        <f t="shared" si="0"/>
        <v>CM CF D Common Aminities</v>
      </c>
      <c r="K96" s="75" t="str">
        <f t="shared" si="1"/>
        <v>CM CF D1 RCC Structure</v>
      </c>
      <c r="L96" s="76" t="str">
        <f t="shared" si="2"/>
        <v>CM CF D1-1 Steel</v>
      </c>
      <c r="M96" s="70" t="str">
        <f t="shared" si="3"/>
        <v>CM PL D Common Aminities</v>
      </c>
      <c r="N96" s="71" t="str">
        <f t="shared" si="4"/>
        <v>CM PL D1 RCC Structure</v>
      </c>
      <c r="O96" s="72" t="str">
        <f t="shared" si="5"/>
        <v>CM PL D1-1 Steel</v>
      </c>
    </row>
    <row r="97" spans="1:15">
      <c r="A97" s="49" t="s">
        <v>885</v>
      </c>
      <c r="B97" s="49" t="s">
        <v>885</v>
      </c>
      <c r="C97" s="66" t="s">
        <v>814</v>
      </c>
      <c r="D97" s="66" t="s">
        <v>445</v>
      </c>
      <c r="E97" s="66">
        <v>1</v>
      </c>
      <c r="F97" s="66" t="s">
        <v>309</v>
      </c>
      <c r="G97" s="66">
        <f>G96+1</f>
        <v>2</v>
      </c>
      <c r="H97" s="66" t="s">
        <v>304</v>
      </c>
      <c r="I97" s="55" t="s">
        <v>303</v>
      </c>
      <c r="J97" s="74" t="str">
        <f t="shared" si="0"/>
        <v>CM CF D Common Aminities</v>
      </c>
      <c r="K97" s="75" t="str">
        <f t="shared" si="1"/>
        <v>CM CF D1 RCC Structure</v>
      </c>
      <c r="L97" s="76" t="str">
        <f t="shared" si="2"/>
        <v>CM CF D1-2 Cement</v>
      </c>
      <c r="M97" s="70" t="str">
        <f t="shared" si="3"/>
        <v>CM PL D Common Aminities</v>
      </c>
      <c r="N97" s="71" t="str">
        <f t="shared" si="4"/>
        <v>CM PL D1 RCC Structure</v>
      </c>
      <c r="O97" s="72" t="str">
        <f t="shared" si="5"/>
        <v>CM PL D1-2 Cement</v>
      </c>
    </row>
    <row r="98" spans="1:15">
      <c r="A98" s="49" t="s">
        <v>885</v>
      </c>
      <c r="B98" s="49" t="s">
        <v>885</v>
      </c>
      <c r="C98" s="66" t="s">
        <v>814</v>
      </c>
      <c r="D98" s="66" t="s">
        <v>445</v>
      </c>
      <c r="E98" s="66">
        <v>1</v>
      </c>
      <c r="F98" s="66" t="s">
        <v>309</v>
      </c>
      <c r="G98" s="66">
        <f t="shared" ref="G98:G104" si="6">G97+1</f>
        <v>3</v>
      </c>
      <c r="H98" s="66" t="s">
        <v>301</v>
      </c>
      <c r="I98" s="55" t="s">
        <v>300</v>
      </c>
      <c r="J98" s="74" t="str">
        <f t="shared" si="0"/>
        <v>CM CF D Common Aminities</v>
      </c>
      <c r="K98" s="75" t="str">
        <f t="shared" si="1"/>
        <v>CM CF D1 RCC Structure</v>
      </c>
      <c r="L98" s="76" t="str">
        <f t="shared" si="2"/>
        <v>CM CF D1-3 Sand</v>
      </c>
      <c r="M98" s="70" t="str">
        <f t="shared" si="3"/>
        <v>CM PL D Common Aminities</v>
      </c>
      <c r="N98" s="71" t="str">
        <f t="shared" si="4"/>
        <v>CM PL D1 RCC Structure</v>
      </c>
      <c r="O98" s="72" t="str">
        <f t="shared" si="5"/>
        <v>CM PL D1-3 Sand</v>
      </c>
    </row>
    <row r="99" spans="1:15">
      <c r="A99" s="49" t="s">
        <v>885</v>
      </c>
      <c r="B99" s="49" t="s">
        <v>885</v>
      </c>
      <c r="C99" s="66" t="s">
        <v>814</v>
      </c>
      <c r="D99" s="66" t="s">
        <v>445</v>
      </c>
      <c r="E99" s="66">
        <v>1</v>
      </c>
      <c r="F99" s="66" t="s">
        <v>309</v>
      </c>
      <c r="G99" s="66">
        <f t="shared" si="6"/>
        <v>4</v>
      </c>
      <c r="H99" s="66" t="s">
        <v>298</v>
      </c>
      <c r="I99" s="55" t="s">
        <v>297</v>
      </c>
      <c r="J99" s="74" t="str">
        <f t="shared" si="0"/>
        <v>CM CF D Common Aminities</v>
      </c>
      <c r="K99" s="75" t="str">
        <f t="shared" si="1"/>
        <v>CM CF D1 RCC Structure</v>
      </c>
      <c r="L99" s="76" t="str">
        <f t="shared" si="2"/>
        <v>CM CF D1-4 Aggregate</v>
      </c>
      <c r="M99" s="70" t="str">
        <f t="shared" si="3"/>
        <v>CM PL D Common Aminities</v>
      </c>
      <c r="N99" s="71" t="str">
        <f t="shared" si="4"/>
        <v>CM PL D1 RCC Structure</v>
      </c>
      <c r="O99" s="72" t="str">
        <f t="shared" si="5"/>
        <v>CM PL D1-4 Aggregate</v>
      </c>
    </row>
    <row r="100" spans="1:15">
      <c r="A100" s="49" t="s">
        <v>885</v>
      </c>
      <c r="B100" s="49" t="s">
        <v>885</v>
      </c>
      <c r="C100" s="66" t="s">
        <v>814</v>
      </c>
      <c r="D100" s="66" t="s">
        <v>445</v>
      </c>
      <c r="E100" s="66">
        <v>1</v>
      </c>
      <c r="F100" s="66" t="s">
        <v>309</v>
      </c>
      <c r="G100" s="66">
        <f t="shared" si="6"/>
        <v>5</v>
      </c>
      <c r="H100" s="66" t="s">
        <v>295</v>
      </c>
      <c r="I100" s="55" t="s">
        <v>294</v>
      </c>
      <c r="J100" s="74" t="str">
        <f t="shared" si="0"/>
        <v>CM CF D Common Aminities</v>
      </c>
      <c r="K100" s="75" t="str">
        <f t="shared" si="1"/>
        <v>CM CF D1 RCC Structure</v>
      </c>
      <c r="L100" s="76" t="str">
        <f t="shared" si="2"/>
        <v>CM CF D1-5 RCC Labour</v>
      </c>
      <c r="M100" s="70" t="str">
        <f t="shared" si="3"/>
        <v>CM PL D Common Aminities</v>
      </c>
      <c r="N100" s="71" t="str">
        <f t="shared" si="4"/>
        <v>CM PL D1 RCC Structure</v>
      </c>
      <c r="O100" s="72" t="str">
        <f t="shared" si="5"/>
        <v>CM PL D1-5 RCC Labour</v>
      </c>
    </row>
    <row r="101" spans="1:15">
      <c r="A101" s="49" t="s">
        <v>885</v>
      </c>
      <c r="B101" s="49" t="s">
        <v>885</v>
      </c>
      <c r="C101" s="66" t="s">
        <v>814</v>
      </c>
      <c r="D101" s="66" t="s">
        <v>445</v>
      </c>
      <c r="E101" s="66">
        <v>1</v>
      </c>
      <c r="F101" s="66" t="s">
        <v>309</v>
      </c>
      <c r="G101" s="66">
        <f t="shared" si="6"/>
        <v>6</v>
      </c>
      <c r="H101" s="66" t="s">
        <v>292</v>
      </c>
      <c r="I101" s="55" t="s">
        <v>291</v>
      </c>
      <c r="J101" s="74" t="str">
        <f t="shared" si="0"/>
        <v>CM CF D Common Aminities</v>
      </c>
      <c r="K101" s="75" t="str">
        <f t="shared" si="1"/>
        <v>CM CF D1 RCC Structure</v>
      </c>
      <c r="L101" s="76" t="str">
        <f t="shared" si="2"/>
        <v>CM CF D1-6 Shuttering</v>
      </c>
      <c r="M101" s="70" t="str">
        <f t="shared" si="3"/>
        <v>CM PL D Common Aminities</v>
      </c>
      <c r="N101" s="71" t="str">
        <f t="shared" si="4"/>
        <v>CM PL D1 RCC Structure</v>
      </c>
      <c r="O101" s="72" t="str">
        <f t="shared" si="5"/>
        <v>CM PL D1-6 Shuttering</v>
      </c>
    </row>
    <row r="102" spans="1:15">
      <c r="A102" s="49" t="s">
        <v>885</v>
      </c>
      <c r="B102" s="49" t="s">
        <v>885</v>
      </c>
      <c r="C102" s="66" t="s">
        <v>814</v>
      </c>
      <c r="D102" s="66" t="s">
        <v>445</v>
      </c>
      <c r="E102" s="66">
        <v>1</v>
      </c>
      <c r="F102" s="66" t="s">
        <v>309</v>
      </c>
      <c r="G102" s="66">
        <f t="shared" si="6"/>
        <v>7</v>
      </c>
      <c r="H102" s="66" t="s">
        <v>288</v>
      </c>
      <c r="I102" s="55" t="s">
        <v>287</v>
      </c>
      <c r="J102" s="74" t="str">
        <f t="shared" si="0"/>
        <v>CM CF D Common Aminities</v>
      </c>
      <c r="K102" s="75" t="str">
        <f t="shared" si="1"/>
        <v>CM CF D1 RCC Structure</v>
      </c>
      <c r="L102" s="76" t="str">
        <f t="shared" si="2"/>
        <v>CM CF D1-7 Concrete Pump</v>
      </c>
      <c r="M102" s="70" t="str">
        <f t="shared" si="3"/>
        <v>CM PL D Common Aminities</v>
      </c>
      <c r="N102" s="71" t="str">
        <f t="shared" si="4"/>
        <v>CM PL D1 RCC Structure</v>
      </c>
      <c r="O102" s="72" t="str">
        <f t="shared" si="5"/>
        <v>CM PL D1-7 Concrete Pump</v>
      </c>
    </row>
    <row r="103" spans="1:15">
      <c r="A103" s="49" t="s">
        <v>885</v>
      </c>
      <c r="B103" s="49" t="s">
        <v>885</v>
      </c>
      <c r="C103" s="66" t="s">
        <v>814</v>
      </c>
      <c r="D103" s="66" t="s">
        <v>445</v>
      </c>
      <c r="E103" s="66">
        <v>1</v>
      </c>
      <c r="F103" s="66" t="s">
        <v>309</v>
      </c>
      <c r="G103" s="66">
        <f t="shared" si="6"/>
        <v>8</v>
      </c>
      <c r="H103" s="66" t="s">
        <v>436</v>
      </c>
      <c r="I103" s="55" t="s">
        <v>436</v>
      </c>
      <c r="J103" s="74" t="str">
        <f t="shared" si="0"/>
        <v>CM CF D Common Aminities</v>
      </c>
      <c r="K103" s="75" t="str">
        <f t="shared" si="1"/>
        <v>CM CF D1 RCC Structure</v>
      </c>
      <c r="L103" s="76" t="str">
        <f t="shared" si="2"/>
        <v>CM CF D1-8 corrugated sheet</v>
      </c>
      <c r="M103" s="70" t="str">
        <f t="shared" si="3"/>
        <v>CM PL D Common Aminities</v>
      </c>
      <c r="N103" s="71" t="str">
        <f t="shared" si="4"/>
        <v>CM PL D1 RCC Structure</v>
      </c>
      <c r="O103" s="72" t="str">
        <f t="shared" si="5"/>
        <v>CM PL D1-8 corrugated sheet</v>
      </c>
    </row>
    <row r="104" spans="1:15">
      <c r="A104" s="49" t="s">
        <v>885</v>
      </c>
      <c r="B104" s="49" t="s">
        <v>885</v>
      </c>
      <c r="C104" s="66" t="s">
        <v>814</v>
      </c>
      <c r="D104" s="66" t="s">
        <v>445</v>
      </c>
      <c r="E104" s="66">
        <v>1</v>
      </c>
      <c r="F104" s="66" t="s">
        <v>309</v>
      </c>
      <c r="G104" s="66">
        <f t="shared" si="6"/>
        <v>9</v>
      </c>
      <c r="H104" s="66" t="s">
        <v>433</v>
      </c>
      <c r="J104" s="74" t="str">
        <f t="shared" si="0"/>
        <v>CM CF D Common Aminities</v>
      </c>
      <c r="K104" s="75" t="str">
        <f t="shared" si="1"/>
        <v>CM CF D1 RCC Structure</v>
      </c>
      <c r="L104" s="76" t="str">
        <f t="shared" si="2"/>
        <v>CM CF D1-9 Rubble Stone</v>
      </c>
      <c r="M104" s="70" t="str">
        <f t="shared" si="3"/>
        <v>CM PL D Common Aminities</v>
      </c>
      <c r="N104" s="71" t="str">
        <f t="shared" si="4"/>
        <v>CM PL D1 RCC Structure</v>
      </c>
      <c r="O104" s="72" t="str">
        <f t="shared" si="5"/>
        <v>CM PL D1-9 Rubble Stone</v>
      </c>
    </row>
    <row r="105" spans="1:15">
      <c r="A105" s="49" t="s">
        <v>885</v>
      </c>
      <c r="B105" s="49" t="s">
        <v>885</v>
      </c>
      <c r="C105" s="66" t="s">
        <v>814</v>
      </c>
      <c r="D105" s="66" t="s">
        <v>445</v>
      </c>
      <c r="E105" s="66">
        <v>2</v>
      </c>
      <c r="F105" s="66" t="s">
        <v>286</v>
      </c>
      <c r="G105" s="66">
        <v>1</v>
      </c>
      <c r="H105" s="66" t="s">
        <v>284</v>
      </c>
      <c r="I105" s="55" t="s">
        <v>283</v>
      </c>
      <c r="J105" s="74" t="str">
        <f t="shared" si="0"/>
        <v>CM CF D Common Aminities</v>
      </c>
      <c r="K105" s="75" t="str">
        <f t="shared" si="1"/>
        <v>CM CF D2 Brickwork</v>
      </c>
      <c r="L105" s="76" t="str">
        <f t="shared" si="2"/>
        <v>CM CF D2-1 Bricks/Blocks</v>
      </c>
      <c r="M105" s="70" t="str">
        <f t="shared" si="3"/>
        <v>CM PL D Common Aminities</v>
      </c>
      <c r="N105" s="71" t="str">
        <f t="shared" si="4"/>
        <v>CM PL D2 Brickwork</v>
      </c>
      <c r="O105" s="72" t="str">
        <f t="shared" si="5"/>
        <v>CM PL D2-1 Bricks/Blocks</v>
      </c>
    </row>
    <row r="106" spans="1:15">
      <c r="A106" s="49" t="s">
        <v>885</v>
      </c>
      <c r="B106" s="49" t="s">
        <v>885</v>
      </c>
      <c r="C106" s="66" t="s">
        <v>814</v>
      </c>
      <c r="D106" s="66" t="s">
        <v>445</v>
      </c>
      <c r="E106" s="66">
        <v>2</v>
      </c>
      <c r="F106" s="66" t="s">
        <v>286</v>
      </c>
      <c r="G106" s="66">
        <v>2</v>
      </c>
      <c r="H106" s="66" t="s">
        <v>281</v>
      </c>
      <c r="I106" s="55" t="s">
        <v>280</v>
      </c>
      <c r="J106" s="74" t="str">
        <f t="shared" si="0"/>
        <v>CM CF D Common Aminities</v>
      </c>
      <c r="K106" s="75" t="str">
        <f t="shared" si="1"/>
        <v>CM CF D2 Brickwork</v>
      </c>
      <c r="L106" s="76" t="str">
        <f t="shared" si="2"/>
        <v>CM CF D2-2 Mortar</v>
      </c>
      <c r="M106" s="70" t="str">
        <f t="shared" si="3"/>
        <v>CM PL D Common Aminities</v>
      </c>
      <c r="N106" s="71" t="str">
        <f t="shared" si="4"/>
        <v>CM PL D2 Brickwork</v>
      </c>
      <c r="O106" s="72" t="str">
        <f t="shared" si="5"/>
        <v>CM PL D2-2 Mortar</v>
      </c>
    </row>
    <row r="107" spans="1:15">
      <c r="A107" s="49" t="s">
        <v>885</v>
      </c>
      <c r="B107" s="49" t="s">
        <v>885</v>
      </c>
      <c r="C107" s="66" t="s">
        <v>814</v>
      </c>
      <c r="D107" s="66" t="s">
        <v>445</v>
      </c>
      <c r="E107" s="66">
        <v>2</v>
      </c>
      <c r="F107" s="66" t="s">
        <v>286</v>
      </c>
      <c r="G107" s="66">
        <v>3</v>
      </c>
      <c r="H107" s="66" t="s">
        <v>277</v>
      </c>
      <c r="I107" s="55" t="s">
        <v>276</v>
      </c>
      <c r="J107" s="74" t="str">
        <f t="shared" si="0"/>
        <v>CM CF D Common Aminities</v>
      </c>
      <c r="K107" s="75" t="str">
        <f t="shared" si="1"/>
        <v>CM CF D2 Brickwork</v>
      </c>
      <c r="L107" s="76" t="str">
        <f t="shared" si="2"/>
        <v>CM CF D2-3 Brickwork Labour</v>
      </c>
      <c r="M107" s="70" t="str">
        <f t="shared" si="3"/>
        <v>CM PL D Common Aminities</v>
      </c>
      <c r="N107" s="71" t="str">
        <f t="shared" si="4"/>
        <v>CM PL D2 Brickwork</v>
      </c>
      <c r="O107" s="72" t="str">
        <f t="shared" si="5"/>
        <v>CM PL D2-3 Brickwork Labour</v>
      </c>
    </row>
    <row r="108" spans="1:15">
      <c r="A108" s="49" t="s">
        <v>885</v>
      </c>
      <c r="B108" s="49" t="s">
        <v>885</v>
      </c>
      <c r="C108" s="66" t="s">
        <v>814</v>
      </c>
      <c r="D108" s="66" t="s">
        <v>445</v>
      </c>
      <c r="E108" s="66">
        <v>3</v>
      </c>
      <c r="F108" s="66" t="s">
        <v>275</v>
      </c>
      <c r="G108" s="66">
        <v>1</v>
      </c>
      <c r="H108" s="66" t="s">
        <v>273</v>
      </c>
      <c r="I108" s="55" t="s">
        <v>272</v>
      </c>
      <c r="J108" s="74" t="str">
        <f t="shared" si="0"/>
        <v>CM CF D Common Aminities</v>
      </c>
      <c r="K108" s="75" t="str">
        <f t="shared" si="1"/>
        <v>CM CF D3 Internal Plaster</v>
      </c>
      <c r="L108" s="76" t="str">
        <f t="shared" si="2"/>
        <v>CM CF D3-1 Plaster Material</v>
      </c>
      <c r="M108" s="70" t="str">
        <f t="shared" si="3"/>
        <v>CM PL D Common Aminities</v>
      </c>
      <c r="N108" s="71" t="str">
        <f t="shared" si="4"/>
        <v>CM PL D3 Internal Plaster</v>
      </c>
      <c r="O108" s="72" t="str">
        <f t="shared" si="5"/>
        <v>CM PL D3-1 Plaster Material</v>
      </c>
    </row>
    <row r="109" spans="1:15">
      <c r="A109" s="49" t="s">
        <v>885</v>
      </c>
      <c r="B109" s="49" t="s">
        <v>885</v>
      </c>
      <c r="C109" s="66" t="s">
        <v>814</v>
      </c>
      <c r="D109" s="66" t="s">
        <v>445</v>
      </c>
      <c r="E109" s="66">
        <v>3</v>
      </c>
      <c r="F109" s="66" t="s">
        <v>275</v>
      </c>
      <c r="G109" s="66">
        <v>2</v>
      </c>
      <c r="H109" s="66" t="s">
        <v>269</v>
      </c>
      <c r="I109" s="55" t="s">
        <v>268</v>
      </c>
      <c r="J109" s="74" t="str">
        <f t="shared" si="0"/>
        <v>CM CF D Common Aminities</v>
      </c>
      <c r="K109" s="75" t="str">
        <f t="shared" si="1"/>
        <v>CM CF D3 Internal Plaster</v>
      </c>
      <c r="L109" s="76" t="str">
        <f t="shared" si="2"/>
        <v>CM CF D3-2 Plaster Labour</v>
      </c>
      <c r="M109" s="70" t="str">
        <f t="shared" si="3"/>
        <v>CM PL D Common Aminities</v>
      </c>
      <c r="N109" s="71" t="str">
        <f t="shared" si="4"/>
        <v>CM PL D3 Internal Plaster</v>
      </c>
      <c r="O109" s="72" t="str">
        <f t="shared" si="5"/>
        <v>CM PL D3-2 Plaster Labour</v>
      </c>
    </row>
    <row r="110" spans="1:15" s="101" customFormat="1">
      <c r="A110" s="95" t="s">
        <v>885</v>
      </c>
      <c r="B110" s="95" t="s">
        <v>885</v>
      </c>
      <c r="C110" s="87" t="s">
        <v>814</v>
      </c>
      <c r="D110" s="87" t="s">
        <v>445</v>
      </c>
      <c r="E110" s="87">
        <v>3</v>
      </c>
      <c r="F110" s="87" t="s">
        <v>275</v>
      </c>
      <c r="G110" s="87">
        <v>3</v>
      </c>
      <c r="H110" s="87" t="s">
        <v>700</v>
      </c>
      <c r="I110" s="87" t="s">
        <v>922</v>
      </c>
      <c r="J110" s="97" t="str">
        <f t="shared" si="0"/>
        <v>CM CF D Common Aminities</v>
      </c>
      <c r="K110" s="98" t="str">
        <f t="shared" si="1"/>
        <v>CM CF D3 Internal Plaster</v>
      </c>
      <c r="L110" s="77" t="str">
        <f t="shared" si="2"/>
        <v>CM CF D3-3 Gypsum Work</v>
      </c>
      <c r="M110" s="99" t="str">
        <f t="shared" si="3"/>
        <v>CM PL D Common Aminities</v>
      </c>
      <c r="N110" s="100" t="str">
        <f t="shared" si="4"/>
        <v>CM PL D3 Internal Plaster</v>
      </c>
      <c r="O110" s="73" t="str">
        <f t="shared" si="5"/>
        <v>CM PL D3-3 Gypsum Work</v>
      </c>
    </row>
    <row r="111" spans="1:15">
      <c r="A111" s="49" t="s">
        <v>885</v>
      </c>
      <c r="B111" s="49" t="s">
        <v>885</v>
      </c>
      <c r="C111" s="66" t="s">
        <v>814</v>
      </c>
      <c r="D111" s="66" t="s">
        <v>445</v>
      </c>
      <c r="E111" s="66">
        <v>4</v>
      </c>
      <c r="F111" s="66" t="s">
        <v>267</v>
      </c>
      <c r="G111" s="66">
        <v>1</v>
      </c>
      <c r="H111" s="66" t="s">
        <v>265</v>
      </c>
      <c r="I111" s="55" t="s">
        <v>264</v>
      </c>
      <c r="J111" s="74" t="str">
        <f t="shared" si="0"/>
        <v>CM CF D Common Aminities</v>
      </c>
      <c r="K111" s="75" t="str">
        <f t="shared" si="1"/>
        <v>CM CF D4 External Plaster</v>
      </c>
      <c r="L111" s="76" t="str">
        <f t="shared" si="2"/>
        <v>CM CF D4-1 External Plaster Material</v>
      </c>
      <c r="M111" s="70" t="str">
        <f t="shared" si="3"/>
        <v>CM PL D Common Aminities</v>
      </c>
      <c r="N111" s="71" t="str">
        <f t="shared" si="4"/>
        <v>CM PL D4 External Plaster</v>
      </c>
      <c r="O111" s="72" t="str">
        <f t="shared" si="5"/>
        <v>CM PL D4-1 External Plaster Material</v>
      </c>
    </row>
    <row r="112" spans="1:15">
      <c r="A112" s="49" t="s">
        <v>885</v>
      </c>
      <c r="B112" s="49" t="s">
        <v>885</v>
      </c>
      <c r="C112" s="66" t="s">
        <v>814</v>
      </c>
      <c r="D112" s="66" t="s">
        <v>445</v>
      </c>
      <c r="E112" s="66">
        <v>4</v>
      </c>
      <c r="F112" s="66" t="s">
        <v>267</v>
      </c>
      <c r="G112" s="66">
        <v>2</v>
      </c>
      <c r="H112" s="66" t="s">
        <v>261</v>
      </c>
      <c r="I112" s="55" t="s">
        <v>260</v>
      </c>
      <c r="J112" s="74" t="str">
        <f t="shared" si="0"/>
        <v>CM CF D Common Aminities</v>
      </c>
      <c r="K112" s="75" t="str">
        <f t="shared" si="1"/>
        <v>CM CF D4 External Plaster</v>
      </c>
      <c r="L112" s="76" t="str">
        <f t="shared" si="2"/>
        <v>CM CF D4-2 External Plaster Labour</v>
      </c>
      <c r="M112" s="70" t="str">
        <f t="shared" si="3"/>
        <v>CM PL D Common Aminities</v>
      </c>
      <c r="N112" s="71" t="str">
        <f t="shared" si="4"/>
        <v>CM PL D4 External Plaster</v>
      </c>
      <c r="O112" s="72" t="str">
        <f t="shared" si="5"/>
        <v>CM PL D4-2 External Plaster Labour</v>
      </c>
    </row>
    <row r="113" spans="1:15">
      <c r="A113" s="49" t="s">
        <v>885</v>
      </c>
      <c r="B113" s="49" t="s">
        <v>885</v>
      </c>
      <c r="C113" s="66" t="s">
        <v>814</v>
      </c>
      <c r="D113" s="66" t="s">
        <v>445</v>
      </c>
      <c r="E113" s="66">
        <v>5</v>
      </c>
      <c r="F113" s="66" t="s">
        <v>259</v>
      </c>
      <c r="G113" s="66">
        <v>1</v>
      </c>
      <c r="H113" s="66" t="s">
        <v>257</v>
      </c>
      <c r="I113" s="55" t="s">
        <v>256</v>
      </c>
      <c r="J113" s="74" t="str">
        <f t="shared" si="0"/>
        <v>CM CF D Common Aminities</v>
      </c>
      <c r="K113" s="75" t="str">
        <f t="shared" si="1"/>
        <v>CM CF D5 Flooring</v>
      </c>
      <c r="L113" s="76" t="str">
        <f t="shared" si="2"/>
        <v>CM CF D5-1 Tiles</v>
      </c>
      <c r="M113" s="70" t="str">
        <f t="shared" si="3"/>
        <v>CM PL D Common Aminities</v>
      </c>
      <c r="N113" s="71" t="str">
        <f t="shared" si="4"/>
        <v>CM PL D5 Flooring</v>
      </c>
      <c r="O113" s="72" t="str">
        <f t="shared" si="5"/>
        <v>CM PL D5-1 Tiles</v>
      </c>
    </row>
    <row r="114" spans="1:15">
      <c r="A114" s="49" t="s">
        <v>885</v>
      </c>
      <c r="B114" s="49" t="s">
        <v>885</v>
      </c>
      <c r="C114" s="66" t="s">
        <v>814</v>
      </c>
      <c r="D114" s="66" t="s">
        <v>445</v>
      </c>
      <c r="E114" s="66">
        <v>5</v>
      </c>
      <c r="F114" s="66" t="s">
        <v>259</v>
      </c>
      <c r="G114" s="66">
        <v>2</v>
      </c>
      <c r="H114" s="66" t="s">
        <v>254</v>
      </c>
      <c r="I114" s="55" t="s">
        <v>253</v>
      </c>
      <c r="J114" s="74" t="str">
        <f t="shared" si="0"/>
        <v>CM CF D Common Aminities</v>
      </c>
      <c r="K114" s="75" t="str">
        <f t="shared" si="1"/>
        <v>CM CF D5 Flooring</v>
      </c>
      <c r="L114" s="76" t="str">
        <f t="shared" si="2"/>
        <v>CM CF D5-2 Marble/Granite</v>
      </c>
      <c r="M114" s="70" t="str">
        <f t="shared" si="3"/>
        <v>CM PL D Common Aminities</v>
      </c>
      <c r="N114" s="71" t="str">
        <f t="shared" si="4"/>
        <v>CM PL D5 Flooring</v>
      </c>
      <c r="O114" s="72" t="str">
        <f t="shared" si="5"/>
        <v>CM PL D5-2 Marble/Granite</v>
      </c>
    </row>
    <row r="115" spans="1:15">
      <c r="A115" s="49" t="s">
        <v>885</v>
      </c>
      <c r="B115" s="49" t="s">
        <v>885</v>
      </c>
      <c r="C115" s="66" t="s">
        <v>814</v>
      </c>
      <c r="D115" s="66" t="s">
        <v>445</v>
      </c>
      <c r="E115" s="66">
        <v>5</v>
      </c>
      <c r="F115" s="66" t="s">
        <v>259</v>
      </c>
      <c r="G115" s="66">
        <v>3</v>
      </c>
      <c r="H115" s="66" t="s">
        <v>251</v>
      </c>
      <c r="I115" s="55" t="s">
        <v>250</v>
      </c>
      <c r="J115" s="74" t="str">
        <f t="shared" si="0"/>
        <v>CM CF D Common Aminities</v>
      </c>
      <c r="K115" s="75" t="str">
        <f t="shared" si="1"/>
        <v>CM CF D5 Flooring</v>
      </c>
      <c r="L115" s="76" t="str">
        <f t="shared" si="2"/>
        <v>CM CF D5-3 Flooring Labour</v>
      </c>
      <c r="M115" s="70" t="str">
        <f t="shared" si="3"/>
        <v>CM PL D Common Aminities</v>
      </c>
      <c r="N115" s="71" t="str">
        <f t="shared" si="4"/>
        <v>CM PL D5 Flooring</v>
      </c>
      <c r="O115" s="72" t="str">
        <f t="shared" si="5"/>
        <v>CM PL D5-3 Flooring Labour</v>
      </c>
    </row>
    <row r="116" spans="1:15">
      <c r="A116" s="49" t="s">
        <v>885</v>
      </c>
      <c r="B116" s="49" t="s">
        <v>885</v>
      </c>
      <c r="C116" s="66" t="s">
        <v>814</v>
      </c>
      <c r="D116" s="66" t="s">
        <v>445</v>
      </c>
      <c r="E116" s="66">
        <v>6</v>
      </c>
      <c r="F116" s="66" t="s">
        <v>246</v>
      </c>
      <c r="G116" s="66">
        <v>1</v>
      </c>
      <c r="H116" s="66" t="s">
        <v>244</v>
      </c>
      <c r="I116" s="55" t="s">
        <v>243</v>
      </c>
      <c r="J116" s="74" t="str">
        <f t="shared" si="0"/>
        <v>CM CF D Common Aminities</v>
      </c>
      <c r="K116" s="75" t="str">
        <f t="shared" si="1"/>
        <v>CM CF D6 Doors &amp; Windows</v>
      </c>
      <c r="L116" s="76" t="str">
        <f t="shared" si="2"/>
        <v>CM CF D6-1 Door Frames</v>
      </c>
      <c r="M116" s="70" t="str">
        <f t="shared" si="3"/>
        <v>CM PL D Common Aminities</v>
      </c>
      <c r="N116" s="71" t="str">
        <f t="shared" si="4"/>
        <v>CM PL D6 Doors &amp; Windows</v>
      </c>
      <c r="O116" s="72" t="str">
        <f t="shared" si="5"/>
        <v>CM PL D6-1 Door Frames</v>
      </c>
    </row>
    <row r="117" spans="1:15">
      <c r="A117" s="49" t="s">
        <v>885</v>
      </c>
      <c r="B117" s="49" t="s">
        <v>885</v>
      </c>
      <c r="C117" s="66" t="s">
        <v>814</v>
      </c>
      <c r="D117" s="66" t="s">
        <v>445</v>
      </c>
      <c r="E117" s="66">
        <v>6</v>
      </c>
      <c r="F117" s="66" t="s">
        <v>246</v>
      </c>
      <c r="G117" s="66">
        <v>2</v>
      </c>
      <c r="H117" s="66" t="s">
        <v>241</v>
      </c>
      <c r="I117" s="55" t="s">
        <v>240</v>
      </c>
      <c r="J117" s="74" t="str">
        <f t="shared" si="0"/>
        <v>CM CF D Common Aminities</v>
      </c>
      <c r="K117" s="75" t="str">
        <f t="shared" si="1"/>
        <v>CM CF D6 Doors &amp; Windows</v>
      </c>
      <c r="L117" s="76" t="str">
        <f t="shared" si="2"/>
        <v>CM CF D6-2 Door Shutters</v>
      </c>
      <c r="M117" s="70" t="str">
        <f t="shared" si="3"/>
        <v>CM PL D Common Aminities</v>
      </c>
      <c r="N117" s="71" t="str">
        <f t="shared" si="4"/>
        <v>CM PL D6 Doors &amp; Windows</v>
      </c>
      <c r="O117" s="72" t="str">
        <f t="shared" si="5"/>
        <v>CM PL D6-2 Door Shutters</v>
      </c>
    </row>
    <row r="118" spans="1:15">
      <c r="A118" s="49" t="s">
        <v>885</v>
      </c>
      <c r="B118" s="49" t="s">
        <v>885</v>
      </c>
      <c r="C118" s="66" t="s">
        <v>814</v>
      </c>
      <c r="D118" s="66" t="s">
        <v>445</v>
      </c>
      <c r="E118" s="66">
        <v>6</v>
      </c>
      <c r="F118" s="66" t="s">
        <v>246</v>
      </c>
      <c r="G118" s="66">
        <v>3</v>
      </c>
      <c r="H118" s="66" t="s">
        <v>238</v>
      </c>
      <c r="I118" s="55" t="s">
        <v>237</v>
      </c>
      <c r="J118" s="74" t="str">
        <f t="shared" si="0"/>
        <v>CM CF D Common Aminities</v>
      </c>
      <c r="K118" s="75" t="str">
        <f t="shared" si="1"/>
        <v>CM CF D6 Doors &amp; Windows</v>
      </c>
      <c r="L118" s="76" t="str">
        <f t="shared" si="2"/>
        <v>CM CF D6-3 Window Frames</v>
      </c>
      <c r="M118" s="70" t="str">
        <f t="shared" si="3"/>
        <v>CM PL D Common Aminities</v>
      </c>
      <c r="N118" s="71" t="str">
        <f t="shared" si="4"/>
        <v>CM PL D6 Doors &amp; Windows</v>
      </c>
      <c r="O118" s="72" t="str">
        <f t="shared" si="5"/>
        <v>CM PL D6-3 Window Frames</v>
      </c>
    </row>
    <row r="119" spans="1:15">
      <c r="A119" s="49" t="s">
        <v>885</v>
      </c>
      <c r="B119" s="49" t="s">
        <v>885</v>
      </c>
      <c r="C119" s="66" t="s">
        <v>814</v>
      </c>
      <c r="D119" s="66" t="s">
        <v>445</v>
      </c>
      <c r="E119" s="66">
        <v>6</v>
      </c>
      <c r="F119" s="66" t="s">
        <v>246</v>
      </c>
      <c r="G119" s="66">
        <v>4</v>
      </c>
      <c r="H119" s="66" t="s">
        <v>235</v>
      </c>
      <c r="I119" s="55" t="s">
        <v>231</v>
      </c>
      <c r="J119" s="74" t="str">
        <f t="shared" si="0"/>
        <v>CM CF D Common Aminities</v>
      </c>
      <c r="K119" s="75" t="str">
        <f t="shared" si="1"/>
        <v>CM CF D6 Doors &amp; Windows</v>
      </c>
      <c r="L119" s="76" t="str">
        <f t="shared" si="2"/>
        <v>CM CF D6-4 Glass</v>
      </c>
      <c r="M119" s="70" t="str">
        <f t="shared" si="3"/>
        <v>CM PL D Common Aminities</v>
      </c>
      <c r="N119" s="71" t="str">
        <f t="shared" si="4"/>
        <v>CM PL D6 Doors &amp; Windows</v>
      </c>
      <c r="O119" s="72" t="str">
        <f t="shared" si="5"/>
        <v>CM PL D6-4 Glass</v>
      </c>
    </row>
    <row r="120" spans="1:15">
      <c r="A120" s="49" t="s">
        <v>885</v>
      </c>
      <c r="B120" s="49" t="s">
        <v>885</v>
      </c>
      <c r="C120" s="66" t="s">
        <v>814</v>
      </c>
      <c r="D120" s="66" t="s">
        <v>445</v>
      </c>
      <c r="E120" s="66">
        <v>7</v>
      </c>
      <c r="F120" s="66" t="s">
        <v>230</v>
      </c>
      <c r="G120" s="66">
        <v>1</v>
      </c>
      <c r="H120" s="66" t="s">
        <v>228</v>
      </c>
      <c r="I120" s="55" t="s">
        <v>227</v>
      </c>
      <c r="J120" s="74" t="str">
        <f t="shared" si="0"/>
        <v>CM CF D Common Aminities</v>
      </c>
      <c r="K120" s="75" t="str">
        <f t="shared" si="1"/>
        <v>CM CF D7 Electrical</v>
      </c>
      <c r="L120" s="76" t="str">
        <f t="shared" si="2"/>
        <v>CM CF D7-1 Wires</v>
      </c>
      <c r="M120" s="70" t="str">
        <f t="shared" si="3"/>
        <v>CM PL D Common Aminities</v>
      </c>
      <c r="N120" s="71" t="str">
        <f t="shared" si="4"/>
        <v>CM PL D7 Electrical</v>
      </c>
      <c r="O120" s="72" t="str">
        <f t="shared" si="5"/>
        <v>CM PL D7-1 Wires</v>
      </c>
    </row>
    <row r="121" spans="1:15">
      <c r="A121" s="49" t="s">
        <v>885</v>
      </c>
      <c r="B121" s="49" t="s">
        <v>885</v>
      </c>
      <c r="C121" s="66" t="s">
        <v>814</v>
      </c>
      <c r="D121" s="66" t="s">
        <v>445</v>
      </c>
      <c r="E121" s="66">
        <v>7</v>
      </c>
      <c r="F121" s="66" t="s">
        <v>230</v>
      </c>
      <c r="G121" s="66">
        <v>2</v>
      </c>
      <c r="H121" s="66" t="s">
        <v>225</v>
      </c>
      <c r="I121" s="55" t="s">
        <v>224</v>
      </c>
      <c r="J121" s="74" t="str">
        <f t="shared" si="0"/>
        <v>CM CF D Common Aminities</v>
      </c>
      <c r="K121" s="75" t="str">
        <f t="shared" si="1"/>
        <v>CM CF D7 Electrical</v>
      </c>
      <c r="L121" s="76" t="str">
        <f t="shared" si="2"/>
        <v>CM CF D7-2 Switches</v>
      </c>
      <c r="M121" s="70" t="str">
        <f t="shared" si="3"/>
        <v>CM PL D Common Aminities</v>
      </c>
      <c r="N121" s="71" t="str">
        <f t="shared" si="4"/>
        <v>CM PL D7 Electrical</v>
      </c>
      <c r="O121" s="72" t="str">
        <f t="shared" si="5"/>
        <v>CM PL D7-2 Switches</v>
      </c>
    </row>
    <row r="122" spans="1:15">
      <c r="A122" s="49" t="s">
        <v>885</v>
      </c>
      <c r="B122" s="49" t="s">
        <v>885</v>
      </c>
      <c r="C122" s="66" t="s">
        <v>814</v>
      </c>
      <c r="D122" s="66" t="s">
        <v>445</v>
      </c>
      <c r="E122" s="66">
        <v>7</v>
      </c>
      <c r="F122" s="66" t="s">
        <v>230</v>
      </c>
      <c r="G122" s="66">
        <v>3</v>
      </c>
      <c r="H122" s="66" t="s">
        <v>222</v>
      </c>
      <c r="I122" s="55" t="s">
        <v>221</v>
      </c>
      <c r="J122" s="74" t="str">
        <f t="shared" si="0"/>
        <v>CM CF D Common Aminities</v>
      </c>
      <c r="K122" s="75" t="str">
        <f t="shared" si="1"/>
        <v>CM CF D7 Electrical</v>
      </c>
      <c r="L122" s="76" t="str">
        <f t="shared" si="2"/>
        <v>CM CF D7-3 DB Panels</v>
      </c>
      <c r="M122" s="70" t="str">
        <f t="shared" si="3"/>
        <v>CM PL D Common Aminities</v>
      </c>
      <c r="N122" s="71" t="str">
        <f t="shared" si="4"/>
        <v>CM PL D7 Electrical</v>
      </c>
      <c r="O122" s="72" t="str">
        <f t="shared" si="5"/>
        <v>CM PL D7-3 DB Panels</v>
      </c>
    </row>
    <row r="123" spans="1:15">
      <c r="A123" s="49" t="s">
        <v>885</v>
      </c>
      <c r="B123" s="49" t="s">
        <v>885</v>
      </c>
      <c r="C123" s="66" t="s">
        <v>814</v>
      </c>
      <c r="D123" s="66" t="s">
        <v>445</v>
      </c>
      <c r="E123" s="66">
        <v>7</v>
      </c>
      <c r="F123" s="66" t="s">
        <v>230</v>
      </c>
      <c r="G123" s="66">
        <v>4</v>
      </c>
      <c r="H123" s="66" t="s">
        <v>219</v>
      </c>
      <c r="I123" s="55" t="s">
        <v>216</v>
      </c>
      <c r="J123" s="74" t="str">
        <f t="shared" si="0"/>
        <v>CM CF D Common Aminities</v>
      </c>
      <c r="K123" s="75" t="str">
        <f t="shared" si="1"/>
        <v>CM CF D7 Electrical</v>
      </c>
      <c r="L123" s="76" t="str">
        <f t="shared" si="2"/>
        <v>CM CF D7-4 Electrical Labour</v>
      </c>
      <c r="M123" s="70" t="str">
        <f t="shared" si="3"/>
        <v>CM PL D Common Aminities</v>
      </c>
      <c r="N123" s="71" t="str">
        <f t="shared" si="4"/>
        <v>CM PL D7 Electrical</v>
      </c>
      <c r="O123" s="72" t="str">
        <f t="shared" si="5"/>
        <v>CM PL D7-4 Electrical Labour</v>
      </c>
    </row>
    <row r="124" spans="1:15">
      <c r="A124" s="49" t="s">
        <v>885</v>
      </c>
      <c r="B124" s="49" t="s">
        <v>885</v>
      </c>
      <c r="C124" s="66" t="s">
        <v>814</v>
      </c>
      <c r="D124" s="66" t="s">
        <v>445</v>
      </c>
      <c r="E124" s="66">
        <v>7</v>
      </c>
      <c r="F124" s="66" t="s">
        <v>230</v>
      </c>
      <c r="G124" s="66">
        <v>5</v>
      </c>
      <c r="H124" s="66" t="s">
        <v>217</v>
      </c>
      <c r="I124" s="55" t="s">
        <v>216</v>
      </c>
      <c r="J124" s="74" t="str">
        <f t="shared" si="0"/>
        <v>CM CF D Common Aminities</v>
      </c>
      <c r="K124" s="75" t="str">
        <f t="shared" si="1"/>
        <v>CM CF D7 Electrical</v>
      </c>
      <c r="L124" s="76" t="str">
        <f t="shared" si="2"/>
        <v>CM CF D7-5 Lights</v>
      </c>
      <c r="M124" s="70" t="str">
        <f t="shared" si="3"/>
        <v>CM PL D Common Aminities</v>
      </c>
      <c r="N124" s="71" t="str">
        <f t="shared" si="4"/>
        <v>CM PL D7 Electrical</v>
      </c>
      <c r="O124" s="72" t="str">
        <f t="shared" si="5"/>
        <v>CM PL D7-5 Lights</v>
      </c>
    </row>
    <row r="125" spans="1:15">
      <c r="A125" s="49" t="s">
        <v>885</v>
      </c>
      <c r="B125" s="49" t="s">
        <v>885</v>
      </c>
      <c r="C125" s="66" t="s">
        <v>814</v>
      </c>
      <c r="D125" s="66" t="s">
        <v>445</v>
      </c>
      <c r="E125" s="66">
        <v>7</v>
      </c>
      <c r="F125" s="66" t="s">
        <v>230</v>
      </c>
      <c r="G125" s="66">
        <v>6</v>
      </c>
      <c r="H125" s="66" t="s">
        <v>407</v>
      </c>
      <c r="J125" s="74" t="str">
        <f t="shared" si="0"/>
        <v>CM CF D Common Aminities</v>
      </c>
      <c r="K125" s="75" t="str">
        <f t="shared" si="1"/>
        <v>CM CF D7 Electrical</v>
      </c>
      <c r="L125" s="76" t="str">
        <f t="shared" si="2"/>
        <v>CM CF D7-6 Other electrical material</v>
      </c>
      <c r="M125" s="70" t="str">
        <f t="shared" si="3"/>
        <v>CM PL D Common Aminities</v>
      </c>
      <c r="N125" s="71" t="str">
        <f t="shared" si="4"/>
        <v>CM PL D7 Electrical</v>
      </c>
      <c r="O125" s="72" t="str">
        <f t="shared" si="5"/>
        <v>CM PL D7-6 Other electrical material</v>
      </c>
    </row>
    <row r="126" spans="1:15">
      <c r="A126" s="49" t="s">
        <v>885</v>
      </c>
      <c r="B126" s="49" t="s">
        <v>885</v>
      </c>
      <c r="C126" s="66" t="s">
        <v>814</v>
      </c>
      <c r="D126" s="66" t="s">
        <v>445</v>
      </c>
      <c r="E126" s="66">
        <v>7</v>
      </c>
      <c r="F126" s="66" t="s">
        <v>230</v>
      </c>
      <c r="G126" s="66">
        <v>7</v>
      </c>
      <c r="H126" s="66" t="s">
        <v>404</v>
      </c>
      <c r="J126" s="74" t="str">
        <f t="shared" si="0"/>
        <v>CM CF D Common Aminities</v>
      </c>
      <c r="K126" s="75" t="str">
        <f t="shared" si="1"/>
        <v>CM CF D7 Electrical</v>
      </c>
      <c r="L126" s="76" t="str">
        <f t="shared" si="2"/>
        <v>CM CF D7-7 Electrical Transformer</v>
      </c>
      <c r="M126" s="70" t="str">
        <f t="shared" si="3"/>
        <v>CM PL D Common Aminities</v>
      </c>
      <c r="N126" s="71" t="str">
        <f t="shared" si="4"/>
        <v>CM PL D7 Electrical</v>
      </c>
      <c r="O126" s="72" t="str">
        <f t="shared" si="5"/>
        <v>CM PL D7-7 Electrical Transformer</v>
      </c>
    </row>
    <row r="127" spans="1:15">
      <c r="A127" s="49" t="s">
        <v>885</v>
      </c>
      <c r="B127" s="49" t="s">
        <v>885</v>
      </c>
      <c r="C127" s="66" t="s">
        <v>814</v>
      </c>
      <c r="D127" s="66" t="s">
        <v>445</v>
      </c>
      <c r="E127" s="66">
        <v>8</v>
      </c>
      <c r="F127" s="66" t="s">
        <v>212</v>
      </c>
      <c r="G127" s="66">
        <v>1</v>
      </c>
      <c r="H127" s="66" t="s">
        <v>210</v>
      </c>
      <c r="I127" s="55" t="s">
        <v>209</v>
      </c>
      <c r="J127" s="74" t="str">
        <f t="shared" si="0"/>
        <v>CM CF D Common Aminities</v>
      </c>
      <c r="K127" s="75" t="str">
        <f t="shared" si="1"/>
        <v>CM CF D8 Plumbing</v>
      </c>
      <c r="L127" s="76" t="str">
        <f t="shared" si="2"/>
        <v>CM CF D8-1 Pipes</v>
      </c>
      <c r="M127" s="70" t="str">
        <f t="shared" si="3"/>
        <v>CM PL D Common Aminities</v>
      </c>
      <c r="N127" s="71" t="str">
        <f t="shared" si="4"/>
        <v>CM PL D8 Plumbing</v>
      </c>
      <c r="O127" s="72" t="str">
        <f t="shared" si="5"/>
        <v>CM PL D8-1 Pipes</v>
      </c>
    </row>
    <row r="128" spans="1:15">
      <c r="A128" s="49" t="s">
        <v>885</v>
      </c>
      <c r="B128" s="49" t="s">
        <v>885</v>
      </c>
      <c r="C128" s="66" t="s">
        <v>814</v>
      </c>
      <c r="D128" s="66" t="s">
        <v>445</v>
      </c>
      <c r="E128" s="66">
        <v>8</v>
      </c>
      <c r="F128" s="66" t="s">
        <v>212</v>
      </c>
      <c r="G128" s="66">
        <v>2</v>
      </c>
      <c r="H128" s="66" t="s">
        <v>207</v>
      </c>
      <c r="I128" s="55" t="s">
        <v>206</v>
      </c>
      <c r="J128" s="74" t="str">
        <f t="shared" si="0"/>
        <v>CM CF D Common Aminities</v>
      </c>
      <c r="K128" s="75" t="str">
        <f t="shared" si="1"/>
        <v>CM CF D8 Plumbing</v>
      </c>
      <c r="L128" s="76" t="str">
        <f t="shared" si="2"/>
        <v>CM CF D8-2 Fittings</v>
      </c>
      <c r="M128" s="70" t="str">
        <f t="shared" si="3"/>
        <v>CM PL D Common Aminities</v>
      </c>
      <c r="N128" s="71" t="str">
        <f t="shared" si="4"/>
        <v>CM PL D8 Plumbing</v>
      </c>
      <c r="O128" s="72" t="str">
        <f t="shared" si="5"/>
        <v>CM PL D8-2 Fittings</v>
      </c>
    </row>
    <row r="129" spans="1:15">
      <c r="A129" s="49" t="s">
        <v>885</v>
      </c>
      <c r="B129" s="49" t="s">
        <v>885</v>
      </c>
      <c r="C129" s="66" t="s">
        <v>814</v>
      </c>
      <c r="D129" s="66" t="s">
        <v>445</v>
      </c>
      <c r="E129" s="66">
        <v>8</v>
      </c>
      <c r="F129" s="66" t="s">
        <v>212</v>
      </c>
      <c r="G129" s="66">
        <v>3</v>
      </c>
      <c r="H129" s="66" t="s">
        <v>203</v>
      </c>
      <c r="I129" s="55" t="s">
        <v>202</v>
      </c>
      <c r="J129" s="74" t="str">
        <f t="shared" si="0"/>
        <v>CM CF D Common Aminities</v>
      </c>
      <c r="K129" s="75" t="str">
        <f t="shared" si="1"/>
        <v>CM CF D8 Plumbing</v>
      </c>
      <c r="L129" s="76" t="str">
        <f t="shared" si="2"/>
        <v>CM CF D8-3 Plumbing Labour</v>
      </c>
      <c r="M129" s="70" t="str">
        <f t="shared" si="3"/>
        <v>CM PL D Common Aminities</v>
      </c>
      <c r="N129" s="71" t="str">
        <f t="shared" si="4"/>
        <v>CM PL D8 Plumbing</v>
      </c>
      <c r="O129" s="72" t="str">
        <f t="shared" si="5"/>
        <v>CM PL D8-3 Plumbing Labour</v>
      </c>
    </row>
    <row r="130" spans="1:15">
      <c r="A130" s="49" t="s">
        <v>885</v>
      </c>
      <c r="B130" s="49" t="s">
        <v>885</v>
      </c>
      <c r="C130" s="66" t="s">
        <v>814</v>
      </c>
      <c r="D130" s="66" t="s">
        <v>445</v>
      </c>
      <c r="E130" s="66">
        <v>8</v>
      </c>
      <c r="F130" s="66" t="s">
        <v>212</v>
      </c>
      <c r="G130" s="66">
        <v>4</v>
      </c>
      <c r="H130" s="66" t="s">
        <v>398</v>
      </c>
      <c r="J130" s="74" t="str">
        <f t="shared" si="0"/>
        <v>CM CF D Common Aminities</v>
      </c>
      <c r="K130" s="75" t="str">
        <f t="shared" si="1"/>
        <v>CM CF D8 Plumbing</v>
      </c>
      <c r="L130" s="76" t="str">
        <f t="shared" si="2"/>
        <v>CM CF D8-4 Other Plumbing material</v>
      </c>
      <c r="M130" s="70" t="str">
        <f t="shared" si="3"/>
        <v>CM PL D Common Aminities</v>
      </c>
      <c r="N130" s="71" t="str">
        <f t="shared" si="4"/>
        <v>CM PL D8 Plumbing</v>
      </c>
      <c r="O130" s="72" t="str">
        <f t="shared" si="5"/>
        <v>CM PL D8-4 Other Plumbing material</v>
      </c>
    </row>
    <row r="131" spans="1:15">
      <c r="A131" s="49" t="s">
        <v>885</v>
      </c>
      <c r="B131" s="49" t="s">
        <v>885</v>
      </c>
      <c r="C131" s="66" t="s">
        <v>814</v>
      </c>
      <c r="D131" s="66" t="s">
        <v>445</v>
      </c>
      <c r="E131" s="66">
        <v>9</v>
      </c>
      <c r="F131" s="66" t="s">
        <v>201</v>
      </c>
      <c r="G131" s="66">
        <v>1</v>
      </c>
      <c r="H131" s="66" t="s">
        <v>199</v>
      </c>
      <c r="I131" s="55" t="s">
        <v>198</v>
      </c>
      <c r="J131" s="74" t="str">
        <f t="shared" si="0"/>
        <v>CM CF D Common Aminities</v>
      </c>
      <c r="K131" s="75" t="str">
        <f t="shared" si="1"/>
        <v>CM CF D9 Waterproofing</v>
      </c>
      <c r="L131" s="76" t="str">
        <f t="shared" si="2"/>
        <v>CM CF D9-1 Chemical Waterproofing</v>
      </c>
      <c r="M131" s="70" t="str">
        <f t="shared" si="3"/>
        <v>CM PL D Common Aminities</v>
      </c>
      <c r="N131" s="71" t="str">
        <f t="shared" si="4"/>
        <v>CM PL D9 Waterproofing</v>
      </c>
      <c r="O131" s="72" t="str">
        <f t="shared" si="5"/>
        <v>CM PL D9-1 Chemical Waterproofing</v>
      </c>
    </row>
    <row r="132" spans="1:15">
      <c r="A132" s="49" t="s">
        <v>885</v>
      </c>
      <c r="B132" s="49" t="s">
        <v>885</v>
      </c>
      <c r="C132" s="66" t="s">
        <v>814</v>
      </c>
      <c r="D132" s="66" t="s">
        <v>445</v>
      </c>
      <c r="E132" s="66">
        <v>9</v>
      </c>
      <c r="F132" s="66" t="s">
        <v>201</v>
      </c>
      <c r="G132" s="66">
        <v>2</v>
      </c>
      <c r="H132" s="66" t="s">
        <v>195</v>
      </c>
      <c r="I132" s="55" t="s">
        <v>194</v>
      </c>
      <c r="J132" s="74" t="str">
        <f t="shared" si="0"/>
        <v>CM CF D Common Aminities</v>
      </c>
      <c r="K132" s="75" t="str">
        <f t="shared" si="1"/>
        <v>CM CF D9 Waterproofing</v>
      </c>
      <c r="L132" s="76" t="str">
        <f t="shared" si="2"/>
        <v>CM CF D9-2 Waterproofing Labour</v>
      </c>
      <c r="M132" s="70" t="str">
        <f t="shared" si="3"/>
        <v>CM PL D Common Aminities</v>
      </c>
      <c r="N132" s="71" t="str">
        <f t="shared" si="4"/>
        <v>CM PL D9 Waterproofing</v>
      </c>
      <c r="O132" s="72" t="str">
        <f t="shared" si="5"/>
        <v>CM PL D9-2 Waterproofing Labour</v>
      </c>
    </row>
    <row r="133" spans="1:15">
      <c r="A133" s="49" t="s">
        <v>885</v>
      </c>
      <c r="B133" s="49" t="s">
        <v>885</v>
      </c>
      <c r="C133" s="66" t="s">
        <v>814</v>
      </c>
      <c r="D133" s="66" t="s">
        <v>445</v>
      </c>
      <c r="E133" s="66">
        <v>10</v>
      </c>
      <c r="F133" s="66" t="s">
        <v>193</v>
      </c>
      <c r="G133" s="66">
        <v>1</v>
      </c>
      <c r="H133" s="66" t="s">
        <v>191</v>
      </c>
      <c r="I133" s="55" t="s">
        <v>190</v>
      </c>
      <c r="J133" s="74" t="str">
        <f t="shared" si="0"/>
        <v>CM CF D Common Aminities</v>
      </c>
      <c r="K133" s="75" t="str">
        <f t="shared" si="1"/>
        <v>CM CF D10 Painting</v>
      </c>
      <c r="L133" s="76" t="str">
        <f t="shared" si="2"/>
        <v>CM CF D10-1 Primer</v>
      </c>
      <c r="M133" s="70" t="str">
        <f t="shared" si="3"/>
        <v>CM PL D Common Aminities</v>
      </c>
      <c r="N133" s="71" t="str">
        <f t="shared" si="4"/>
        <v>CM PL D10 Painting</v>
      </c>
      <c r="O133" s="72" t="str">
        <f t="shared" si="5"/>
        <v>CM PL D10-1 Primer</v>
      </c>
    </row>
    <row r="134" spans="1:15">
      <c r="A134" s="49" t="s">
        <v>885</v>
      </c>
      <c r="B134" s="49" t="s">
        <v>885</v>
      </c>
      <c r="C134" s="66" t="s">
        <v>814</v>
      </c>
      <c r="D134" s="66" t="s">
        <v>445</v>
      </c>
      <c r="E134" s="66">
        <v>10</v>
      </c>
      <c r="F134" s="66" t="s">
        <v>193</v>
      </c>
      <c r="G134" s="66">
        <v>2</v>
      </c>
      <c r="H134" s="66" t="s">
        <v>188</v>
      </c>
      <c r="I134" s="55" t="s">
        <v>187</v>
      </c>
      <c r="J134" s="74" t="str">
        <f t="shared" si="0"/>
        <v>CM CF D Common Aminities</v>
      </c>
      <c r="K134" s="75" t="str">
        <f t="shared" si="1"/>
        <v>CM CF D10 Painting</v>
      </c>
      <c r="L134" s="76" t="str">
        <f t="shared" si="2"/>
        <v>CM CF D10-2 Paint</v>
      </c>
      <c r="M134" s="70" t="str">
        <f t="shared" si="3"/>
        <v>CM PL D Common Aminities</v>
      </c>
      <c r="N134" s="71" t="str">
        <f t="shared" si="4"/>
        <v>CM PL D10 Painting</v>
      </c>
      <c r="O134" s="72" t="str">
        <f t="shared" si="5"/>
        <v>CM PL D10-2 Paint</v>
      </c>
    </row>
    <row r="135" spans="1:15">
      <c r="A135" s="49" t="s">
        <v>885</v>
      </c>
      <c r="B135" s="49" t="s">
        <v>885</v>
      </c>
      <c r="C135" s="66" t="s">
        <v>814</v>
      </c>
      <c r="D135" s="66" t="s">
        <v>445</v>
      </c>
      <c r="E135" s="66">
        <v>10</v>
      </c>
      <c r="F135" s="66" t="s">
        <v>193</v>
      </c>
      <c r="G135" s="66">
        <v>3</v>
      </c>
      <c r="H135" s="66" t="s">
        <v>184</v>
      </c>
      <c r="I135" s="55" t="s">
        <v>183</v>
      </c>
      <c r="J135" s="74" t="str">
        <f t="shared" si="0"/>
        <v>CM CF D Common Aminities</v>
      </c>
      <c r="K135" s="75" t="str">
        <f t="shared" si="1"/>
        <v>CM CF D10 Painting</v>
      </c>
      <c r="L135" s="76" t="str">
        <f t="shared" si="2"/>
        <v>CM CF D10-3 Painting Labour</v>
      </c>
      <c r="M135" s="70" t="str">
        <f t="shared" si="3"/>
        <v>CM PL D Common Aminities</v>
      </c>
      <c r="N135" s="71" t="str">
        <f t="shared" si="4"/>
        <v>CM PL D10 Painting</v>
      </c>
      <c r="O135" s="72" t="str">
        <f t="shared" si="5"/>
        <v>CM PL D10-3 Painting Labour</v>
      </c>
    </row>
    <row r="136" spans="1:15">
      <c r="A136" s="49" t="s">
        <v>885</v>
      </c>
      <c r="B136" s="49" t="s">
        <v>885</v>
      </c>
      <c r="C136" s="66" t="s">
        <v>814</v>
      </c>
      <c r="D136" s="66" t="s">
        <v>445</v>
      </c>
      <c r="E136" s="66">
        <v>10</v>
      </c>
      <c r="F136" s="66" t="s">
        <v>193</v>
      </c>
      <c r="G136" s="66">
        <v>4</v>
      </c>
      <c r="H136" s="66" t="s">
        <v>389</v>
      </c>
      <c r="J136" s="74" t="str">
        <f t="shared" si="0"/>
        <v>CM CF D Common Aminities</v>
      </c>
      <c r="K136" s="75" t="str">
        <f t="shared" si="1"/>
        <v>CM CF D10 Painting</v>
      </c>
      <c r="L136" s="76" t="str">
        <f t="shared" si="2"/>
        <v>CM CF D10-4 Landscaping/ Painting Work</v>
      </c>
      <c r="M136" s="70" t="str">
        <f t="shared" si="3"/>
        <v>CM PL D Common Aminities</v>
      </c>
      <c r="N136" s="71" t="str">
        <f t="shared" si="4"/>
        <v>CM PL D10 Painting</v>
      </c>
      <c r="O136" s="72" t="str">
        <f t="shared" si="5"/>
        <v>CM PL D10-4 Landscaping/ Painting Work</v>
      </c>
    </row>
    <row r="137" spans="1:15">
      <c r="A137" s="49" t="s">
        <v>885</v>
      </c>
      <c r="B137" s="49" t="s">
        <v>885</v>
      </c>
      <c r="C137" s="66" t="s">
        <v>814</v>
      </c>
      <c r="D137" s="66" t="s">
        <v>445</v>
      </c>
      <c r="E137" s="66">
        <v>11</v>
      </c>
      <c r="F137" s="66" t="s">
        <v>181</v>
      </c>
      <c r="G137" s="66">
        <v>1</v>
      </c>
      <c r="H137" s="66" t="s">
        <v>181</v>
      </c>
      <c r="I137" s="55" t="s">
        <v>180</v>
      </c>
      <c r="J137" s="74" t="str">
        <f t="shared" si="0"/>
        <v>CM CF D Common Aminities</v>
      </c>
      <c r="K137" s="75" t="str">
        <f t="shared" si="1"/>
        <v>CM CF D11 Furniture/Equipments</v>
      </c>
      <c r="L137" s="76" t="str">
        <f t="shared" si="2"/>
        <v>CM CF D11-1 Furniture/Equipments</v>
      </c>
      <c r="M137" s="70" t="str">
        <f t="shared" si="3"/>
        <v>CM PL D Common Aminities</v>
      </c>
      <c r="N137" s="71" t="str">
        <f t="shared" si="4"/>
        <v>CM PL D11 Furniture/Equipments</v>
      </c>
      <c r="O137" s="72" t="str">
        <f t="shared" si="5"/>
        <v>CM PL D11-1 Furniture/Equipments</v>
      </c>
    </row>
    <row r="138" spans="1:15">
      <c r="A138" s="49" t="s">
        <v>885</v>
      </c>
      <c r="B138" s="49" t="s">
        <v>885</v>
      </c>
      <c r="C138" s="66" t="s">
        <v>814</v>
      </c>
      <c r="D138" s="66" t="s">
        <v>445</v>
      </c>
      <c r="E138" s="66">
        <v>11</v>
      </c>
      <c r="F138" s="66" t="s">
        <v>181</v>
      </c>
      <c r="G138" s="66">
        <v>2</v>
      </c>
      <c r="H138" s="66" t="s">
        <v>385</v>
      </c>
      <c r="J138" s="74" t="str">
        <f t="shared" si="0"/>
        <v>CM CF D Common Aminities</v>
      </c>
      <c r="K138" s="75" t="str">
        <f t="shared" si="1"/>
        <v>CM CF D11 Furniture/Equipments</v>
      </c>
      <c r="L138" s="76" t="str">
        <f t="shared" si="2"/>
        <v>CM CF D11-2 Flag Pole</v>
      </c>
      <c r="M138" s="70" t="str">
        <f t="shared" si="3"/>
        <v>CM PL D Common Aminities</v>
      </c>
      <c r="N138" s="71" t="str">
        <f t="shared" si="4"/>
        <v>CM PL D11 Furniture/Equipments</v>
      </c>
      <c r="O138" s="72" t="str">
        <f t="shared" si="5"/>
        <v>CM PL D11-2 Flag Pole</v>
      </c>
    </row>
    <row r="139" spans="1:15">
      <c r="A139" s="49" t="s">
        <v>885</v>
      </c>
      <c r="B139" s="49" t="s">
        <v>885</v>
      </c>
      <c r="C139" s="66" t="s">
        <v>814</v>
      </c>
      <c r="D139" s="66" t="s">
        <v>445</v>
      </c>
      <c r="E139" s="66">
        <v>12</v>
      </c>
      <c r="F139" s="66" t="s">
        <v>177</v>
      </c>
      <c r="G139" s="66">
        <v>1</v>
      </c>
      <c r="H139" s="66" t="s">
        <v>177</v>
      </c>
      <c r="I139" s="55" t="s">
        <v>318</v>
      </c>
      <c r="J139" s="74" t="str">
        <f t="shared" si="0"/>
        <v>CM CF D Common Aminities</v>
      </c>
      <c r="K139" s="75" t="str">
        <f t="shared" si="1"/>
        <v>CM CF D12 POP</v>
      </c>
      <c r="L139" s="76" t="str">
        <f t="shared" si="2"/>
        <v>CM CF D12-1 POP</v>
      </c>
      <c r="M139" s="70" t="str">
        <f t="shared" si="3"/>
        <v>CM PL D Common Aminities</v>
      </c>
      <c r="N139" s="71" t="str">
        <f t="shared" si="4"/>
        <v>CM PL D12 POP</v>
      </c>
      <c r="O139" s="72" t="str">
        <f t="shared" si="5"/>
        <v>CM PL D12-1 POP</v>
      </c>
    </row>
    <row r="140" spans="1:15">
      <c r="A140" s="49" t="s">
        <v>885</v>
      </c>
      <c r="B140" s="49" t="s">
        <v>885</v>
      </c>
      <c r="C140" s="66" t="s">
        <v>814</v>
      </c>
      <c r="D140" s="66" t="s">
        <v>445</v>
      </c>
      <c r="E140" s="66">
        <v>13</v>
      </c>
      <c r="F140" s="66" t="s">
        <v>382</v>
      </c>
      <c r="G140" s="66">
        <v>1</v>
      </c>
      <c r="H140" s="66" t="s">
        <v>380</v>
      </c>
      <c r="J140" s="74" t="str">
        <f t="shared" si="0"/>
        <v>CM CF D Common Aminities</v>
      </c>
      <c r="K140" s="75" t="str">
        <f t="shared" si="1"/>
        <v xml:space="preserve">CM CF D13 Garden </v>
      </c>
      <c r="L140" s="76" t="str">
        <f t="shared" si="2"/>
        <v>CM CF D13-1 Garden Labour Work</v>
      </c>
      <c r="M140" s="70" t="str">
        <f t="shared" si="3"/>
        <v>CM PL D Common Aminities</v>
      </c>
      <c r="N140" s="71" t="str">
        <f t="shared" si="4"/>
        <v xml:space="preserve">CM PL D13 Garden </v>
      </c>
      <c r="O140" s="72" t="str">
        <f t="shared" si="5"/>
        <v>CM PL D13-1 Garden Labour Work</v>
      </c>
    </row>
    <row r="141" spans="1:15">
      <c r="A141" s="49" t="s">
        <v>885</v>
      </c>
      <c r="B141" s="49" t="s">
        <v>885</v>
      </c>
      <c r="C141" s="66" t="s">
        <v>814</v>
      </c>
      <c r="D141" s="66" t="s">
        <v>445</v>
      </c>
      <c r="E141" s="66">
        <v>13</v>
      </c>
      <c r="F141" s="66" t="s">
        <v>382</v>
      </c>
      <c r="G141" s="66">
        <v>2</v>
      </c>
      <c r="H141" s="66" t="s">
        <v>377</v>
      </c>
      <c r="J141" s="74" t="str">
        <f t="shared" si="0"/>
        <v>CM CF D Common Aminities</v>
      </c>
      <c r="K141" s="75" t="str">
        <f t="shared" si="1"/>
        <v xml:space="preserve">CM CF D13 Garden </v>
      </c>
      <c r="L141" s="76" t="str">
        <f t="shared" si="2"/>
        <v>CM CF D13-2 Garden Grass/ Plantation purchase</v>
      </c>
      <c r="M141" s="70" t="str">
        <f t="shared" si="3"/>
        <v>CM PL D Common Aminities</v>
      </c>
      <c r="N141" s="71" t="str">
        <f t="shared" si="4"/>
        <v xml:space="preserve">CM PL D13 Garden </v>
      </c>
      <c r="O141" s="72" t="str">
        <f t="shared" si="5"/>
        <v>CM PL D13-2 Garden Grass/ Plantation purchase</v>
      </c>
    </row>
    <row r="142" spans="1:15" s="101" customFormat="1">
      <c r="A142" s="95" t="s">
        <v>885</v>
      </c>
      <c r="B142" s="95" t="s">
        <v>885</v>
      </c>
      <c r="C142" s="87" t="s">
        <v>814</v>
      </c>
      <c r="D142" s="87" t="s">
        <v>445</v>
      </c>
      <c r="E142" s="87">
        <v>13</v>
      </c>
      <c r="F142" s="87" t="s">
        <v>382</v>
      </c>
      <c r="G142" s="87">
        <v>3</v>
      </c>
      <c r="H142" s="101" t="s">
        <v>923</v>
      </c>
      <c r="I142" s="88"/>
      <c r="J142" s="97" t="str">
        <f t="shared" si="0"/>
        <v>CM CF D Common Aminities</v>
      </c>
      <c r="K142" s="98" t="str">
        <f t="shared" si="1"/>
        <v xml:space="preserve">CM CF D13 Garden </v>
      </c>
      <c r="L142" s="77" t="str">
        <f t="shared" si="2"/>
        <v>CM CF D13-3 Articial Plants and Grass</v>
      </c>
      <c r="M142" s="99" t="str">
        <f t="shared" si="3"/>
        <v>CM PL D Common Aminities</v>
      </c>
      <c r="N142" s="100" t="str">
        <f t="shared" si="4"/>
        <v xml:space="preserve">CM PL D13 Garden </v>
      </c>
      <c r="O142" s="73" t="str">
        <f t="shared" si="5"/>
        <v>CM PL D13-3 Articial Plants and Grass</v>
      </c>
    </row>
    <row r="143" spans="1:15">
      <c r="A143" s="49" t="s">
        <v>885</v>
      </c>
      <c r="B143" s="49" t="s">
        <v>885</v>
      </c>
      <c r="C143" s="66" t="s">
        <v>814</v>
      </c>
      <c r="D143" s="66" t="s">
        <v>445</v>
      </c>
      <c r="E143" s="66">
        <v>14</v>
      </c>
      <c r="F143" s="66" t="s">
        <v>376</v>
      </c>
      <c r="G143" s="66">
        <v>1</v>
      </c>
      <c r="H143" s="66" t="s">
        <v>374</v>
      </c>
      <c r="J143" s="74" t="str">
        <f t="shared" si="0"/>
        <v>CM CF D Common Aminities</v>
      </c>
      <c r="K143" s="75" t="str">
        <f t="shared" si="1"/>
        <v>CM CF D14 Fabrication</v>
      </c>
      <c r="L143" s="76" t="str">
        <f t="shared" si="2"/>
        <v>CM CF D14-1 Fabrication Material</v>
      </c>
      <c r="M143" s="70" t="str">
        <f t="shared" si="3"/>
        <v>CM PL D Common Aminities</v>
      </c>
      <c r="N143" s="71" t="str">
        <f t="shared" si="4"/>
        <v>CM PL D14 Fabrication</v>
      </c>
      <c r="O143" s="72" t="str">
        <f t="shared" si="5"/>
        <v>CM PL D14-1 Fabrication Material</v>
      </c>
    </row>
    <row r="144" spans="1:15">
      <c r="A144" s="49" t="s">
        <v>885</v>
      </c>
      <c r="B144" s="49" t="s">
        <v>885</v>
      </c>
      <c r="C144" s="66" t="s">
        <v>814</v>
      </c>
      <c r="D144" s="66" t="s">
        <v>445</v>
      </c>
      <c r="E144" s="66">
        <v>14</v>
      </c>
      <c r="F144" s="66" t="s">
        <v>376</v>
      </c>
      <c r="G144" s="66">
        <v>2</v>
      </c>
      <c r="H144" s="66" t="s">
        <v>371</v>
      </c>
      <c r="J144" s="74" t="str">
        <f t="shared" si="0"/>
        <v>CM CF D Common Aminities</v>
      </c>
      <c r="K144" s="75" t="str">
        <f t="shared" si="1"/>
        <v>CM CF D14 Fabrication</v>
      </c>
      <c r="L144" s="76" t="str">
        <f t="shared" si="2"/>
        <v>CM CF D14-2 Fabrication Work</v>
      </c>
      <c r="M144" s="70" t="str">
        <f t="shared" si="3"/>
        <v>CM PL D Common Aminities</v>
      </c>
      <c r="N144" s="71" t="str">
        <f t="shared" si="4"/>
        <v>CM PL D14 Fabrication</v>
      </c>
      <c r="O144" s="72" t="str">
        <f t="shared" si="5"/>
        <v>CM PL D14-2 Fabrication Work</v>
      </c>
    </row>
    <row r="145" spans="1:16" s="101" customFormat="1">
      <c r="A145" s="95" t="s">
        <v>885</v>
      </c>
      <c r="B145" s="95" t="s">
        <v>885</v>
      </c>
      <c r="C145" s="87" t="s">
        <v>814</v>
      </c>
      <c r="D145" s="87" t="s">
        <v>445</v>
      </c>
      <c r="E145" s="87">
        <v>15</v>
      </c>
      <c r="F145" s="87" t="s">
        <v>928</v>
      </c>
      <c r="G145" s="87">
        <v>1</v>
      </c>
      <c r="H145" s="87" t="s">
        <v>929</v>
      </c>
      <c r="I145" s="88"/>
      <c r="J145" s="97" t="str">
        <f t="shared" si="0"/>
        <v>CM CF D Common Aminities</v>
      </c>
      <c r="K145" s="98" t="str">
        <f t="shared" si="1"/>
        <v>CM CF D15 Transportation Chg</v>
      </c>
      <c r="L145" s="77" t="str">
        <f t="shared" si="2"/>
        <v>CM CF D15-1 Transportation Chg paid</v>
      </c>
      <c r="M145" s="99" t="str">
        <f t="shared" si="3"/>
        <v>CM PL D Common Aminities</v>
      </c>
      <c r="N145" s="100" t="str">
        <f t="shared" si="4"/>
        <v>CM PL D15 Transportation Chg</v>
      </c>
      <c r="O145" s="73" t="str">
        <f t="shared" si="5"/>
        <v>CM PL D15-1 Transportation Chg paid</v>
      </c>
    </row>
    <row r="146" spans="1:16" s="101" customFormat="1">
      <c r="A146" s="95" t="s">
        <v>885</v>
      </c>
      <c r="B146" s="95" t="s">
        <v>885</v>
      </c>
      <c r="C146" s="87" t="s">
        <v>814</v>
      </c>
      <c r="D146" s="87" t="s">
        <v>445</v>
      </c>
      <c r="E146" s="87">
        <v>16</v>
      </c>
      <c r="F146" s="87" t="s">
        <v>930</v>
      </c>
      <c r="G146" s="87">
        <v>1</v>
      </c>
      <c r="H146" s="87" t="s">
        <v>616</v>
      </c>
      <c r="I146" s="88"/>
      <c r="J146" s="97" t="str">
        <f t="shared" si="0"/>
        <v>CM CF D Common Aminities</v>
      </c>
      <c r="K146" s="98" t="str">
        <f t="shared" si="1"/>
        <v>CM CF D16 Asset Purchase</v>
      </c>
      <c r="L146" s="77" t="str">
        <f t="shared" si="2"/>
        <v>CM CF D16-1 Heat Pump</v>
      </c>
      <c r="M146" s="99" t="str">
        <f t="shared" si="3"/>
        <v>CM PL D Common Aminities</v>
      </c>
      <c r="N146" s="100" t="str">
        <f t="shared" si="4"/>
        <v>CM PL D16 Asset Purchase</v>
      </c>
      <c r="O146" s="73" t="str">
        <f t="shared" si="5"/>
        <v>CM PL D16-1 Heat Pump</v>
      </c>
    </row>
    <row r="147" spans="1:16" s="101" customFormat="1">
      <c r="A147" s="95" t="s">
        <v>885</v>
      </c>
      <c r="B147" s="95" t="s">
        <v>885</v>
      </c>
      <c r="C147" s="87" t="s">
        <v>814</v>
      </c>
      <c r="D147" s="87" t="s">
        <v>445</v>
      </c>
      <c r="E147" s="87">
        <v>16</v>
      </c>
      <c r="F147" s="87" t="s">
        <v>930</v>
      </c>
      <c r="G147" s="87">
        <v>2</v>
      </c>
      <c r="H147" s="87" t="s">
        <v>932</v>
      </c>
      <c r="I147" s="88"/>
      <c r="J147" s="97" t="str">
        <f t="shared" si="0"/>
        <v>CM CF D Common Aminities</v>
      </c>
      <c r="K147" s="98" t="str">
        <f t="shared" si="1"/>
        <v>CM CF D16 Asset Purchase</v>
      </c>
      <c r="L147" s="77" t="str">
        <f t="shared" si="2"/>
        <v>CM CF D16-2 Inverter</v>
      </c>
      <c r="M147" s="99" t="str">
        <f t="shared" si="3"/>
        <v>CM PL D Common Aminities</v>
      </c>
      <c r="N147" s="100" t="str">
        <f t="shared" si="4"/>
        <v>CM PL D16 Asset Purchase</v>
      </c>
      <c r="O147" s="73" t="str">
        <f t="shared" si="5"/>
        <v>CM PL D16-2 Inverter</v>
      </c>
    </row>
    <row r="148" spans="1:16" s="101" customFormat="1">
      <c r="A148" s="95" t="s">
        <v>885</v>
      </c>
      <c r="B148" s="95" t="s">
        <v>885</v>
      </c>
      <c r="C148" s="87" t="s">
        <v>814</v>
      </c>
      <c r="D148" s="87" t="s">
        <v>445</v>
      </c>
      <c r="E148" s="87">
        <v>16</v>
      </c>
      <c r="F148" s="87" t="s">
        <v>930</v>
      </c>
      <c r="G148" s="87">
        <v>3</v>
      </c>
      <c r="H148" s="87" t="s">
        <v>934</v>
      </c>
      <c r="I148" s="88"/>
      <c r="J148" s="97" t="str">
        <f t="shared" si="0"/>
        <v>CM CF D Common Aminities</v>
      </c>
      <c r="K148" s="98" t="str">
        <f t="shared" si="1"/>
        <v>CM CF D16 Asset Purchase</v>
      </c>
      <c r="L148" s="77" t="str">
        <f t="shared" si="2"/>
        <v>CM CF D16-3 Tarpaulin Sheet</v>
      </c>
      <c r="M148" s="99" t="str">
        <f t="shared" si="3"/>
        <v>CM PL D Common Aminities</v>
      </c>
      <c r="N148" s="100" t="str">
        <f t="shared" si="4"/>
        <v>CM PL D16 Asset Purchase</v>
      </c>
      <c r="O148" s="73" t="str">
        <f t="shared" si="5"/>
        <v>CM PL D16-3 Tarpaulin Sheet</v>
      </c>
      <c r="P148" s="99"/>
    </row>
    <row r="149" spans="1:16" s="101" customFormat="1">
      <c r="A149" s="95" t="s">
        <v>885</v>
      </c>
      <c r="B149" s="95" t="s">
        <v>885</v>
      </c>
      <c r="C149" s="87" t="s">
        <v>814</v>
      </c>
      <c r="D149" s="87" t="s">
        <v>445</v>
      </c>
      <c r="E149" s="87">
        <v>17</v>
      </c>
      <c r="F149" s="87" t="s">
        <v>935</v>
      </c>
      <c r="G149" s="87">
        <v>1</v>
      </c>
      <c r="H149" s="87" t="s">
        <v>936</v>
      </c>
      <c r="I149" s="88"/>
      <c r="J149" s="97" t="str">
        <f t="shared" si="0"/>
        <v>CM CF D Common Aminities</v>
      </c>
      <c r="K149" s="98" t="str">
        <f t="shared" si="1"/>
        <v>CM CF D17 Labour Charges</v>
      </c>
      <c r="L149" s="77" t="str">
        <f t="shared" si="2"/>
        <v>CM CF D17-1 Labour Chg paid</v>
      </c>
      <c r="M149" s="99" t="str">
        <f t="shared" si="3"/>
        <v>CM PL D Common Aminities</v>
      </c>
      <c r="N149" s="100" t="str">
        <f t="shared" si="4"/>
        <v>CM PL D17 Labour Charges</v>
      </c>
      <c r="O149" s="73" t="str">
        <f t="shared" si="5"/>
        <v>CM PL D17-1 Labour Chg paid</v>
      </c>
      <c r="P149" s="99"/>
    </row>
    <row r="150" spans="1:16">
      <c r="A150" s="49" t="s">
        <v>885</v>
      </c>
      <c r="B150" s="49" t="s">
        <v>885</v>
      </c>
      <c r="C150" s="66" t="s">
        <v>802</v>
      </c>
      <c r="D150" s="66" t="s">
        <v>564</v>
      </c>
      <c r="E150" s="66">
        <v>1</v>
      </c>
      <c r="F150" s="66" t="s">
        <v>563</v>
      </c>
      <c r="G150" s="66">
        <v>1</v>
      </c>
      <c r="H150" s="66" t="s">
        <v>559</v>
      </c>
      <c r="I150" s="55" t="s">
        <v>549</v>
      </c>
      <c r="J150" s="74" t="str">
        <f t="shared" si="0"/>
        <v>CM CF E G&amp;A Cost</v>
      </c>
      <c r="K150" s="75" t="str">
        <f t="shared" si="1"/>
        <v>CM CF E1 Salaries</v>
      </c>
      <c r="L150" s="76" t="str">
        <f t="shared" si="2"/>
        <v>CM CF E1-1 Contractor Salaries- Security Guard</v>
      </c>
      <c r="M150" s="70" t="str">
        <f t="shared" si="3"/>
        <v>CM PL E G&amp;A Cost</v>
      </c>
      <c r="N150" s="71" t="str">
        <f t="shared" si="4"/>
        <v>CM PL E1 Salaries</v>
      </c>
      <c r="O150" s="72" t="str">
        <f t="shared" si="5"/>
        <v>CM PL E1-1 Contractor Salaries- Security Guard</v>
      </c>
    </row>
    <row r="151" spans="1:16">
      <c r="A151" s="49" t="s">
        <v>885</v>
      </c>
      <c r="B151" s="49" t="s">
        <v>885</v>
      </c>
      <c r="C151" s="66" t="s">
        <v>802</v>
      </c>
      <c r="D151" s="66" t="s">
        <v>564</v>
      </c>
      <c r="E151" s="66">
        <v>1</v>
      </c>
      <c r="F151" s="66" t="s">
        <v>563</v>
      </c>
      <c r="G151" s="66">
        <v>2</v>
      </c>
      <c r="H151" s="66" t="s">
        <v>557</v>
      </c>
      <c r="I151" s="55" t="s">
        <v>545</v>
      </c>
      <c r="J151" s="74" t="str">
        <f t="shared" si="0"/>
        <v>CM CF E G&amp;A Cost</v>
      </c>
      <c r="K151" s="75" t="str">
        <f t="shared" si="1"/>
        <v>CM CF E1 Salaries</v>
      </c>
      <c r="L151" s="76" t="str">
        <f t="shared" si="2"/>
        <v>CM CF E1-2 Contractor Salaries- Housekeeping Staff</v>
      </c>
      <c r="M151" s="70" t="str">
        <f t="shared" si="3"/>
        <v>CM PL E G&amp;A Cost</v>
      </c>
      <c r="N151" s="71" t="str">
        <f t="shared" si="4"/>
        <v>CM PL E1 Salaries</v>
      </c>
      <c r="O151" s="72" t="str">
        <f t="shared" si="5"/>
        <v>CM PL E1-2 Contractor Salaries- Housekeeping Staff</v>
      </c>
    </row>
    <row r="152" spans="1:16">
      <c r="A152" s="49" t="s">
        <v>885</v>
      </c>
      <c r="B152" s="49" t="s">
        <v>885</v>
      </c>
      <c r="C152" s="66" t="s">
        <v>802</v>
      </c>
      <c r="D152" s="66" t="s">
        <v>564</v>
      </c>
      <c r="E152" s="66">
        <v>1</v>
      </c>
      <c r="F152" s="66" t="s">
        <v>563</v>
      </c>
      <c r="G152" s="66">
        <v>3</v>
      </c>
      <c r="H152" s="66" t="s">
        <v>554</v>
      </c>
      <c r="I152" s="55" t="s">
        <v>540</v>
      </c>
      <c r="J152" s="74" t="str">
        <f t="shared" si="0"/>
        <v>CM CF E G&amp;A Cost</v>
      </c>
      <c r="K152" s="75" t="str">
        <f>IF($J152=0,0,IF(ISBLANK($F152)=FALSE,CONCATENATE(,$C$2," ",$J$2," ",$C152,$E152," ",$F152),0))</f>
        <v>CM CF E1 Salaries</v>
      </c>
      <c r="L152" s="76" t="str">
        <f>IF($K152=0,0,IF(ISBLANK($F152)=FALSE,CONCATENATE(,$C$2," ",$J$2," ",$C152,$E152,,"-",$G152,," ",$H152),0))</f>
        <v>CM CF E1-3 Employee Salary Reimbursed</v>
      </c>
      <c r="M152" s="70" t="str">
        <f t="shared" si="3"/>
        <v>CM PL E G&amp;A Cost</v>
      </c>
      <c r="N152" s="71" t="str">
        <f t="shared" si="4"/>
        <v>CM PL E1 Salaries</v>
      </c>
      <c r="O152" s="72" t="str">
        <f t="shared" si="5"/>
        <v>CM PL E1-3 Employee Salary Reimbursed</v>
      </c>
    </row>
    <row r="153" spans="1:16" s="101" customFormat="1">
      <c r="A153" s="95" t="s">
        <v>885</v>
      </c>
      <c r="B153" s="95" t="s">
        <v>885</v>
      </c>
      <c r="C153" s="87" t="s">
        <v>802</v>
      </c>
      <c r="D153" s="87" t="s">
        <v>564</v>
      </c>
      <c r="E153" s="87">
        <v>1</v>
      </c>
      <c r="F153" s="87" t="s">
        <v>563</v>
      </c>
      <c r="G153" s="87">
        <v>4</v>
      </c>
      <c r="H153" s="96" t="s">
        <v>918</v>
      </c>
      <c r="I153" s="96" t="s">
        <v>917</v>
      </c>
      <c r="J153" s="97" t="str">
        <f t="shared" si="0"/>
        <v>CM CF E G&amp;A Cost</v>
      </c>
      <c r="K153" s="98" t="str">
        <f>IF($J153=0,0,IF(ISBLANK($F153)=FALSE,CONCATENATE(,$C$2," ",$J$2," ",$C153,$E153," ",$F153),0))</f>
        <v>CM CF E1 Salaries</v>
      </c>
      <c r="L153" s="77" t="str">
        <f>IF($K153=0,0,IF(ISBLANK($F153)=FALSE,CONCATENATE(,$C$2," ",$J$2," ",$C153,$E153,,"-",$G153,," ",$H153),0))</f>
        <v>CM CF E1-4 Remuneration Paid to Partner</v>
      </c>
      <c r="M153" s="99" t="str">
        <f t="shared" si="3"/>
        <v>CM PL E G&amp;A Cost</v>
      </c>
      <c r="N153" s="100" t="str">
        <f t="shared" si="4"/>
        <v>CM PL E1 Salaries</v>
      </c>
      <c r="O153" s="73" t="str">
        <f t="shared" si="5"/>
        <v>CM PL E1-4 Remuneration Paid to Partner</v>
      </c>
    </row>
    <row r="154" spans="1:16">
      <c r="A154" s="49" t="s">
        <v>885</v>
      </c>
      <c r="B154" s="49" t="s">
        <v>885</v>
      </c>
      <c r="C154" s="66" t="s">
        <v>802</v>
      </c>
      <c r="D154" s="66" t="s">
        <v>564</v>
      </c>
      <c r="E154" s="66">
        <v>2</v>
      </c>
      <c r="F154" s="66" t="s">
        <v>552</v>
      </c>
      <c r="G154" s="66">
        <v>1</v>
      </c>
      <c r="H154" s="66" t="s">
        <v>550</v>
      </c>
      <c r="I154" s="55" t="s">
        <v>536</v>
      </c>
      <c r="J154" s="74" t="str">
        <f t="shared" si="0"/>
        <v>CM CF E G&amp;A Cost</v>
      </c>
      <c r="K154" s="75" t="str">
        <f t="shared" si="1"/>
        <v>CM CF E2 Rent</v>
      </c>
      <c r="L154" s="76" t="str">
        <f t="shared" si="2"/>
        <v>CM CF E2-1 Office Lease</v>
      </c>
      <c r="M154" s="70" t="str">
        <f t="shared" si="3"/>
        <v>CM PL E G&amp;A Cost</v>
      </c>
      <c r="N154" s="71" t="str">
        <f t="shared" si="4"/>
        <v>CM PL E2 Rent</v>
      </c>
      <c r="O154" s="72" t="str">
        <f t="shared" si="5"/>
        <v>CM PL E2-1 Office Lease</v>
      </c>
    </row>
    <row r="155" spans="1:16">
      <c r="A155" s="49" t="s">
        <v>885</v>
      </c>
      <c r="B155" s="49" t="s">
        <v>885</v>
      </c>
      <c r="C155" s="66" t="s">
        <v>802</v>
      </c>
      <c r="D155" s="66" t="s">
        <v>564</v>
      </c>
      <c r="E155" s="66">
        <v>2</v>
      </c>
      <c r="F155" s="66" t="s">
        <v>552</v>
      </c>
      <c r="G155" s="66">
        <v>2</v>
      </c>
      <c r="H155" s="66" t="s">
        <v>546</v>
      </c>
      <c r="J155" s="74" t="str">
        <f t="shared" si="0"/>
        <v>CM CF E G&amp;A Cost</v>
      </c>
      <c r="K155" s="75" t="str">
        <f t="shared" si="1"/>
        <v>CM CF E2 Rent</v>
      </c>
      <c r="L155" s="76" t="str">
        <f t="shared" si="2"/>
        <v>CM CF E2-2 Appartment rent</v>
      </c>
      <c r="M155" s="70" t="str">
        <f t="shared" si="3"/>
        <v>CM PL E G&amp;A Cost</v>
      </c>
      <c r="N155" s="71" t="str">
        <f t="shared" si="4"/>
        <v>CM PL E2 Rent</v>
      </c>
      <c r="O155" s="72" t="str">
        <f t="shared" si="5"/>
        <v>CM PL E2-2 Appartment rent</v>
      </c>
    </row>
    <row r="156" spans="1:16">
      <c r="A156" s="49" t="s">
        <v>885</v>
      </c>
      <c r="B156" s="49" t="s">
        <v>885</v>
      </c>
      <c r="C156" s="66" t="s">
        <v>802</v>
      </c>
      <c r="D156" s="66" t="s">
        <v>564</v>
      </c>
      <c r="E156" s="66">
        <v>3</v>
      </c>
      <c r="F156" s="66" t="s">
        <v>543</v>
      </c>
      <c r="G156" s="66">
        <v>3</v>
      </c>
      <c r="H156" s="66" t="s">
        <v>541</v>
      </c>
      <c r="J156" s="74" t="str">
        <f t="shared" si="0"/>
        <v>CM CF E G&amp;A Cost</v>
      </c>
      <c r="K156" s="75" t="str">
        <f t="shared" si="1"/>
        <v>CM CF E3 Petty</v>
      </c>
      <c r="L156" s="76" t="str">
        <f t="shared" si="2"/>
        <v>CM CF E3-3 Petty Cash</v>
      </c>
      <c r="M156" s="70" t="str">
        <f t="shared" si="3"/>
        <v>CM PL E G&amp;A Cost</v>
      </c>
      <c r="N156" s="71" t="str">
        <f t="shared" si="4"/>
        <v>CM PL E3 Petty</v>
      </c>
      <c r="O156" s="72" t="str">
        <f t="shared" si="5"/>
        <v>CM PL E3-3 Petty Cash</v>
      </c>
    </row>
    <row r="157" spans="1:16">
      <c r="A157" s="49" t="s">
        <v>885</v>
      </c>
      <c r="B157" s="49" t="s">
        <v>885</v>
      </c>
      <c r="C157" s="66" t="s">
        <v>802</v>
      </c>
      <c r="D157" s="66" t="s">
        <v>564</v>
      </c>
      <c r="E157" s="66">
        <v>4</v>
      </c>
      <c r="F157" s="66" t="s">
        <v>539</v>
      </c>
      <c r="G157" s="66">
        <v>1</v>
      </c>
      <c r="H157" s="66" t="s">
        <v>537</v>
      </c>
      <c r="J157" s="74" t="str">
        <f t="shared" si="0"/>
        <v>CM CF E G&amp;A Cost</v>
      </c>
      <c r="K157" s="75" t="str">
        <f t="shared" si="1"/>
        <v>CM CF E4 Office Bills</v>
      </c>
      <c r="L157" s="76" t="str">
        <f t="shared" si="2"/>
        <v>CM CF E4-1 Electricity Bill</v>
      </c>
      <c r="M157" s="70" t="str">
        <f t="shared" si="3"/>
        <v>CM PL E G&amp;A Cost</v>
      </c>
      <c r="N157" s="71" t="str">
        <f t="shared" si="4"/>
        <v>CM PL E4 Office Bills</v>
      </c>
      <c r="O157" s="72" t="str">
        <f t="shared" si="5"/>
        <v>CM PL E4-1 Electricity Bill</v>
      </c>
    </row>
    <row r="158" spans="1:16">
      <c r="A158" s="49" t="s">
        <v>885</v>
      </c>
      <c r="B158" s="49" t="s">
        <v>885</v>
      </c>
      <c r="C158" s="66" t="s">
        <v>802</v>
      </c>
      <c r="D158" s="66" t="s">
        <v>564</v>
      </c>
      <c r="E158" s="66">
        <v>4</v>
      </c>
      <c r="F158" s="66" t="s">
        <v>539</v>
      </c>
      <c r="G158" s="66">
        <v>2</v>
      </c>
      <c r="H158" s="66" t="s">
        <v>534</v>
      </c>
      <c r="J158" s="74" t="str">
        <f t="shared" si="0"/>
        <v>CM CF E G&amp;A Cost</v>
      </c>
      <c r="K158" s="75" t="str">
        <f t="shared" si="1"/>
        <v>CM CF E4 Office Bills</v>
      </c>
      <c r="L158" s="76" t="str">
        <f t="shared" si="2"/>
        <v>CM CF E4-2 Water Bill</v>
      </c>
      <c r="M158" s="70" t="str">
        <f t="shared" si="3"/>
        <v>CM PL E G&amp;A Cost</v>
      </c>
      <c r="N158" s="71" t="str">
        <f t="shared" si="4"/>
        <v>CM PL E4 Office Bills</v>
      </c>
      <c r="O158" s="72" t="str">
        <f t="shared" si="5"/>
        <v>CM PL E4-2 Water Bill</v>
      </c>
    </row>
    <row r="159" spans="1:16">
      <c r="A159" s="49" t="s">
        <v>885</v>
      </c>
      <c r="B159" s="49" t="s">
        <v>885</v>
      </c>
      <c r="C159" s="66" t="s">
        <v>802</v>
      </c>
      <c r="D159" s="66" t="s">
        <v>564</v>
      </c>
      <c r="E159" s="66">
        <v>4</v>
      </c>
      <c r="F159" s="66" t="s">
        <v>539</v>
      </c>
      <c r="G159" s="66">
        <v>3</v>
      </c>
      <c r="H159" s="66" t="s">
        <v>532</v>
      </c>
      <c r="J159" s="74" t="str">
        <f t="shared" si="0"/>
        <v>CM CF E G&amp;A Cost</v>
      </c>
      <c r="K159" s="75" t="str">
        <f t="shared" si="1"/>
        <v>CM CF E4 Office Bills</v>
      </c>
      <c r="L159" s="76" t="str">
        <f t="shared" si="2"/>
        <v>CM CF E4-3 Internet Bill</v>
      </c>
      <c r="M159" s="70" t="str">
        <f t="shared" si="3"/>
        <v>CM PL E G&amp;A Cost</v>
      </c>
      <c r="N159" s="71" t="str">
        <f t="shared" si="4"/>
        <v>CM PL E4 Office Bills</v>
      </c>
      <c r="O159" s="72" t="str">
        <f t="shared" si="5"/>
        <v>CM PL E4-3 Internet Bill</v>
      </c>
    </row>
    <row r="160" spans="1:16">
      <c r="A160" s="49" t="s">
        <v>885</v>
      </c>
      <c r="B160" s="49" t="s">
        <v>885</v>
      </c>
      <c r="C160" s="66" t="s">
        <v>802</v>
      </c>
      <c r="D160" s="66" t="s">
        <v>564</v>
      </c>
      <c r="E160" s="66">
        <v>4</v>
      </c>
      <c r="F160" s="66" t="s">
        <v>539</v>
      </c>
      <c r="G160" s="66">
        <v>4</v>
      </c>
      <c r="H160" s="66" t="s">
        <v>529</v>
      </c>
      <c r="J160" s="74" t="str">
        <f t="shared" si="0"/>
        <v>CM CF E G&amp;A Cost</v>
      </c>
      <c r="K160" s="75" t="str">
        <f t="shared" si="1"/>
        <v>CM CF E4 Office Bills</v>
      </c>
      <c r="L160" s="76" t="str">
        <f t="shared" si="2"/>
        <v>CM CF E4-4 Courier Chg/Postage and Telephone Charges</v>
      </c>
      <c r="M160" s="70" t="str">
        <f t="shared" si="3"/>
        <v>CM PL E G&amp;A Cost</v>
      </c>
      <c r="N160" s="71" t="str">
        <f t="shared" si="4"/>
        <v>CM PL E4 Office Bills</v>
      </c>
      <c r="O160" s="72" t="str">
        <f t="shared" si="5"/>
        <v>CM PL E4-4 Courier Chg/Postage and Telephone Charges</v>
      </c>
    </row>
    <row r="161" spans="1:15" s="101" customFormat="1">
      <c r="A161" s="95" t="s">
        <v>885</v>
      </c>
      <c r="B161" s="95" t="s">
        <v>885</v>
      </c>
      <c r="C161" s="87" t="s">
        <v>802</v>
      </c>
      <c r="D161" s="87" t="s">
        <v>564</v>
      </c>
      <c r="E161" s="87">
        <v>4</v>
      </c>
      <c r="F161" s="87" t="s">
        <v>539</v>
      </c>
      <c r="G161" s="87">
        <v>5</v>
      </c>
      <c r="H161" s="87" t="s">
        <v>924</v>
      </c>
      <c r="I161" s="88"/>
      <c r="J161" s="97" t="str">
        <f t="shared" si="0"/>
        <v>CM CF E G&amp;A Cost</v>
      </c>
      <c r="K161" s="98" t="str">
        <f t="shared" si="1"/>
        <v>CM CF E4 Office Bills</v>
      </c>
      <c r="L161" s="77" t="str">
        <f t="shared" si="2"/>
        <v>CM CF E4-5 Gmail monthly Payment</v>
      </c>
      <c r="M161" s="99" t="str">
        <f t="shared" si="3"/>
        <v>CM PL E G&amp;A Cost</v>
      </c>
      <c r="N161" s="100" t="str">
        <f t="shared" si="4"/>
        <v>CM PL E4 Office Bills</v>
      </c>
      <c r="O161" s="73" t="str">
        <f t="shared" si="5"/>
        <v>CM PL E4-5 Gmail monthly Payment</v>
      </c>
    </row>
    <row r="162" spans="1:15" s="101" customFormat="1">
      <c r="A162" s="95" t="s">
        <v>885</v>
      </c>
      <c r="B162" s="95" t="s">
        <v>885</v>
      </c>
      <c r="C162" s="87" t="s">
        <v>802</v>
      </c>
      <c r="D162" s="87" t="s">
        <v>564</v>
      </c>
      <c r="E162" s="87">
        <v>4</v>
      </c>
      <c r="F162" s="87" t="s">
        <v>539</v>
      </c>
      <c r="G162" s="87">
        <v>6</v>
      </c>
      <c r="H162" s="87" t="s">
        <v>925</v>
      </c>
      <c r="I162" s="88"/>
      <c r="J162" s="97" t="str">
        <f t="shared" si="0"/>
        <v>CM CF E G&amp;A Cost</v>
      </c>
      <c r="K162" s="98" t="str">
        <f t="shared" si="1"/>
        <v>CM CF E4 Office Bills</v>
      </c>
      <c r="L162" s="77" t="str">
        <f t="shared" si="2"/>
        <v>CM CF E4-6 Call Tracking services</v>
      </c>
      <c r="M162" s="99" t="str">
        <f t="shared" si="3"/>
        <v>CM PL E G&amp;A Cost</v>
      </c>
      <c r="N162" s="100" t="str">
        <f t="shared" si="4"/>
        <v>CM PL E4 Office Bills</v>
      </c>
      <c r="O162" s="73" t="str">
        <f t="shared" si="5"/>
        <v>CM PL E4-6 Call Tracking services</v>
      </c>
    </row>
    <row r="163" spans="1:15">
      <c r="A163" s="49" t="s">
        <v>885</v>
      </c>
      <c r="B163" s="49" t="s">
        <v>885</v>
      </c>
      <c r="C163" s="66" t="s">
        <v>802</v>
      </c>
      <c r="D163" s="66" t="s">
        <v>564</v>
      </c>
      <c r="E163" s="66">
        <v>5</v>
      </c>
      <c r="F163" s="66" t="s">
        <v>528</v>
      </c>
      <c r="G163" s="66">
        <v>1</v>
      </c>
      <c r="H163" s="66" t="s">
        <v>526</v>
      </c>
      <c r="J163" s="74" t="str">
        <f t="shared" si="0"/>
        <v>CM CF E G&amp;A Cost</v>
      </c>
      <c r="K163" s="75" t="str">
        <f t="shared" si="1"/>
        <v>CM CF E5 Maintainance</v>
      </c>
      <c r="L163" s="76" t="str">
        <f t="shared" si="2"/>
        <v>CM CF E5-1 Cleaning Servises</v>
      </c>
      <c r="M163" s="70" t="str">
        <f t="shared" si="3"/>
        <v>CM PL E G&amp;A Cost</v>
      </c>
      <c r="N163" s="71" t="str">
        <f t="shared" si="4"/>
        <v>CM PL E5 Maintainance</v>
      </c>
      <c r="O163" s="72" t="str">
        <f t="shared" si="5"/>
        <v>CM PL E5-1 Cleaning Servises</v>
      </c>
    </row>
    <row r="164" spans="1:15">
      <c r="A164" s="49" t="s">
        <v>885</v>
      </c>
      <c r="B164" s="49" t="s">
        <v>885</v>
      </c>
      <c r="C164" s="66" t="s">
        <v>802</v>
      </c>
      <c r="D164" s="66" t="s">
        <v>564</v>
      </c>
      <c r="E164" s="66">
        <v>5</v>
      </c>
      <c r="F164" s="66" t="s">
        <v>528</v>
      </c>
      <c r="G164" s="66">
        <v>2</v>
      </c>
      <c r="H164" s="66" t="s">
        <v>523</v>
      </c>
      <c r="J164" s="74" t="str">
        <f t="shared" si="0"/>
        <v>CM CF E G&amp;A Cost</v>
      </c>
      <c r="K164" s="75" t="str">
        <f t="shared" si="1"/>
        <v>CM CF E5 Maintainance</v>
      </c>
      <c r="L164" s="76" t="str">
        <f t="shared" si="2"/>
        <v>CM CF E5-2 Repair and Maintenace Expenses</v>
      </c>
      <c r="M164" s="70" t="str">
        <f t="shared" si="3"/>
        <v>CM PL E G&amp;A Cost</v>
      </c>
      <c r="N164" s="71" t="str">
        <f t="shared" si="4"/>
        <v>CM PL E5 Maintainance</v>
      </c>
      <c r="O164" s="72" t="str">
        <f t="shared" si="5"/>
        <v>CM PL E5-2 Repair and Maintenace Expenses</v>
      </c>
    </row>
    <row r="165" spans="1:15">
      <c r="A165" s="49" t="s">
        <v>885</v>
      </c>
      <c r="B165" s="49" t="s">
        <v>885</v>
      </c>
      <c r="C165" s="66" t="s">
        <v>802</v>
      </c>
      <c r="D165" s="66" t="s">
        <v>564</v>
      </c>
      <c r="E165" s="66">
        <v>6</v>
      </c>
      <c r="F165" s="66" t="s">
        <v>522</v>
      </c>
      <c r="G165" s="66">
        <v>1</v>
      </c>
      <c r="H165" s="66" t="s">
        <v>520</v>
      </c>
      <c r="J165" s="74" t="str">
        <f t="shared" si="0"/>
        <v>CM CF E G&amp;A Cost</v>
      </c>
      <c r="K165" s="75" t="str">
        <f t="shared" si="1"/>
        <v>CM CF E6 Travel &amp; Stay</v>
      </c>
      <c r="L165" s="76" t="str">
        <f t="shared" si="2"/>
        <v>CM CF E6-1 Travelling Expenses</v>
      </c>
      <c r="M165" s="70" t="str">
        <f t="shared" si="3"/>
        <v>CM PL E G&amp;A Cost</v>
      </c>
      <c r="N165" s="71" t="str">
        <f t="shared" si="4"/>
        <v>CM PL E6 Travel &amp; Stay</v>
      </c>
      <c r="O165" s="72" t="str">
        <f t="shared" si="5"/>
        <v>CM PL E6-1 Travelling Expenses</v>
      </c>
    </row>
    <row r="166" spans="1:15">
      <c r="A166" s="49" t="s">
        <v>885</v>
      </c>
      <c r="B166" s="49" t="s">
        <v>885</v>
      </c>
      <c r="C166" s="66" t="s">
        <v>802</v>
      </c>
      <c r="D166" s="66" t="s">
        <v>564</v>
      </c>
      <c r="E166" s="66">
        <v>6</v>
      </c>
      <c r="F166" s="66" t="s">
        <v>522</v>
      </c>
      <c r="G166" s="66">
        <v>2</v>
      </c>
      <c r="H166" s="66" t="s">
        <v>518</v>
      </c>
      <c r="J166" s="74" t="str">
        <f t="shared" si="0"/>
        <v>CM CF E G&amp;A Cost</v>
      </c>
      <c r="K166" s="75" t="str">
        <f t="shared" si="1"/>
        <v>CM CF E6 Travel &amp; Stay</v>
      </c>
      <c r="L166" s="76" t="str">
        <f t="shared" si="2"/>
        <v>CM CF E6-2 Travell Cost / Car / Bike Rent</v>
      </c>
      <c r="M166" s="70" t="str">
        <f t="shared" si="3"/>
        <v>CM PL E G&amp;A Cost</v>
      </c>
      <c r="N166" s="71" t="str">
        <f t="shared" si="4"/>
        <v>CM PL E6 Travel &amp; Stay</v>
      </c>
      <c r="O166" s="72" t="str">
        <f t="shared" si="5"/>
        <v>CM PL E6-2 Travell Cost / Car / Bike Rent</v>
      </c>
    </row>
    <row r="167" spans="1:15">
      <c r="A167" s="49" t="s">
        <v>885</v>
      </c>
      <c r="B167" s="49" t="s">
        <v>885</v>
      </c>
      <c r="C167" s="66" t="s">
        <v>802</v>
      </c>
      <c r="D167" s="66" t="s">
        <v>564</v>
      </c>
      <c r="E167" s="66">
        <v>6</v>
      </c>
      <c r="F167" s="66" t="s">
        <v>522</v>
      </c>
      <c r="G167" s="66">
        <v>3</v>
      </c>
      <c r="H167" s="66" t="s">
        <v>515</v>
      </c>
      <c r="J167" s="74" t="str">
        <f t="shared" si="0"/>
        <v>CM CF E G&amp;A Cost</v>
      </c>
      <c r="K167" s="75" t="str">
        <f t="shared" si="1"/>
        <v>CM CF E6 Travel &amp; Stay</v>
      </c>
      <c r="L167" s="76" t="str">
        <f t="shared" si="2"/>
        <v>CM CF E6-3 Lodging and Bording Expenses</v>
      </c>
      <c r="M167" s="70" t="str">
        <f t="shared" si="3"/>
        <v>CM PL E G&amp;A Cost</v>
      </c>
      <c r="N167" s="71" t="str">
        <f t="shared" si="4"/>
        <v>CM PL E6 Travel &amp; Stay</v>
      </c>
      <c r="O167" s="72" t="str">
        <f t="shared" si="5"/>
        <v>CM PL E6-3 Lodging and Bording Expenses</v>
      </c>
    </row>
    <row r="168" spans="1:15">
      <c r="A168" s="49" t="s">
        <v>885</v>
      </c>
      <c r="B168" s="49" t="s">
        <v>885</v>
      </c>
      <c r="C168" s="66" t="s">
        <v>802</v>
      </c>
      <c r="D168" s="66" t="s">
        <v>564</v>
      </c>
      <c r="E168" s="66">
        <v>7</v>
      </c>
      <c r="F168" s="66" t="s">
        <v>514</v>
      </c>
      <c r="G168" s="66">
        <v>1</v>
      </c>
      <c r="H168" s="66" t="s">
        <v>512</v>
      </c>
      <c r="J168" s="74" t="str">
        <f t="shared" si="0"/>
        <v>CM CF E G&amp;A Cost</v>
      </c>
      <c r="K168" s="75" t="str">
        <f t="shared" si="1"/>
        <v>CM CF E7 Food</v>
      </c>
      <c r="L168" s="76" t="str">
        <f t="shared" si="2"/>
        <v>CM CF E7-1 Breakfast/Lunch Expenses</v>
      </c>
      <c r="M168" s="70" t="str">
        <f t="shared" si="3"/>
        <v>CM PL E G&amp;A Cost</v>
      </c>
      <c r="N168" s="71" t="str">
        <f t="shared" si="4"/>
        <v>CM PL E7 Food</v>
      </c>
      <c r="O168" s="72" t="str">
        <f t="shared" si="5"/>
        <v>CM PL E7-1 Breakfast/Lunch Expenses</v>
      </c>
    </row>
    <row r="169" spans="1:15">
      <c r="A169" s="49" t="s">
        <v>885</v>
      </c>
      <c r="B169" s="49" t="s">
        <v>885</v>
      </c>
      <c r="C169" s="66" t="s">
        <v>802</v>
      </c>
      <c r="D169" s="66" t="s">
        <v>564</v>
      </c>
      <c r="E169" s="66">
        <v>7</v>
      </c>
      <c r="F169" s="66" t="s">
        <v>514</v>
      </c>
      <c r="G169" s="66">
        <v>2</v>
      </c>
      <c r="H169" s="66" t="s">
        <v>510</v>
      </c>
      <c r="J169" s="74" t="str">
        <f t="shared" si="0"/>
        <v>CM CF E G&amp;A Cost</v>
      </c>
      <c r="K169" s="75" t="str">
        <f t="shared" si="1"/>
        <v>CM CF E7 Food</v>
      </c>
      <c r="L169" s="76" t="str">
        <f t="shared" si="2"/>
        <v>CM CF E7-2 Grocery</v>
      </c>
      <c r="M169" s="70" t="str">
        <f t="shared" si="3"/>
        <v>CM PL E G&amp;A Cost</v>
      </c>
      <c r="N169" s="71" t="str">
        <f t="shared" si="4"/>
        <v>CM PL E7 Food</v>
      </c>
      <c r="O169" s="72" t="str">
        <f t="shared" si="5"/>
        <v>CM PL E7-2 Grocery</v>
      </c>
    </row>
    <row r="170" spans="1:15">
      <c r="A170" s="49" t="s">
        <v>885</v>
      </c>
      <c r="B170" s="49" t="s">
        <v>885</v>
      </c>
      <c r="C170" s="66" t="s">
        <v>802</v>
      </c>
      <c r="D170" s="66" t="s">
        <v>564</v>
      </c>
      <c r="E170" s="66">
        <v>7</v>
      </c>
      <c r="F170" s="66" t="s">
        <v>514</v>
      </c>
      <c r="G170" s="66">
        <v>3</v>
      </c>
      <c r="H170" s="66" t="s">
        <v>508</v>
      </c>
      <c r="J170" s="74" t="str">
        <f t="shared" si="0"/>
        <v>CM CF E G&amp;A Cost</v>
      </c>
      <c r="K170" s="75" t="str">
        <f t="shared" si="1"/>
        <v>CM CF E7 Food</v>
      </c>
      <c r="L170" s="76" t="str">
        <f t="shared" si="2"/>
        <v>CM CF E7-3 Milk Bill</v>
      </c>
      <c r="M170" s="70" t="str">
        <f t="shared" si="3"/>
        <v>CM PL E G&amp;A Cost</v>
      </c>
      <c r="N170" s="71" t="str">
        <f t="shared" si="4"/>
        <v>CM PL E7 Food</v>
      </c>
      <c r="O170" s="72" t="str">
        <f t="shared" si="5"/>
        <v>CM PL E7-3 Milk Bill</v>
      </c>
    </row>
    <row r="171" spans="1:15">
      <c r="A171" s="49" t="s">
        <v>885</v>
      </c>
      <c r="B171" s="49" t="s">
        <v>885</v>
      </c>
      <c r="C171" s="66" t="s">
        <v>802</v>
      </c>
      <c r="D171" s="66" t="s">
        <v>564</v>
      </c>
      <c r="E171" s="66">
        <v>7</v>
      </c>
      <c r="F171" s="66" t="s">
        <v>514</v>
      </c>
      <c r="G171" s="66">
        <v>4</v>
      </c>
      <c r="H171" s="66" t="s">
        <v>506</v>
      </c>
      <c r="J171" s="74" t="str">
        <f t="shared" si="0"/>
        <v>CM CF E G&amp;A Cost</v>
      </c>
      <c r="K171" s="75" t="str">
        <f t="shared" si="1"/>
        <v>CM CF E7 Food</v>
      </c>
      <c r="L171" s="76" t="str">
        <f t="shared" si="2"/>
        <v>CM CF E7-4 Gas Exp</v>
      </c>
      <c r="M171" s="70" t="str">
        <f t="shared" si="3"/>
        <v>CM PL E G&amp;A Cost</v>
      </c>
      <c r="N171" s="71" t="str">
        <f t="shared" si="4"/>
        <v>CM PL E7 Food</v>
      </c>
      <c r="O171" s="72" t="str">
        <f t="shared" si="5"/>
        <v>CM PL E7-4 Gas Exp</v>
      </c>
    </row>
    <row r="172" spans="1:15">
      <c r="A172" s="49" t="s">
        <v>885</v>
      </c>
      <c r="B172" s="49" t="s">
        <v>885</v>
      </c>
      <c r="C172" s="66" t="s">
        <v>802</v>
      </c>
      <c r="D172" s="66" t="s">
        <v>564</v>
      </c>
      <c r="E172" s="66">
        <v>7</v>
      </c>
      <c r="F172" s="66" t="s">
        <v>514</v>
      </c>
      <c r="G172" s="66">
        <v>5</v>
      </c>
      <c r="H172" s="66" t="s">
        <v>504</v>
      </c>
      <c r="J172" s="74" t="str">
        <f t="shared" si="0"/>
        <v>CM CF E G&amp;A Cost</v>
      </c>
      <c r="K172" s="75" t="str">
        <f t="shared" si="1"/>
        <v>CM CF E7 Food</v>
      </c>
      <c r="L172" s="76" t="str">
        <f t="shared" si="2"/>
        <v>CM CF E7-5 Tea and Refreshment Exp</v>
      </c>
      <c r="M172" s="70" t="str">
        <f t="shared" si="3"/>
        <v>CM PL E G&amp;A Cost</v>
      </c>
      <c r="N172" s="71" t="str">
        <f t="shared" si="4"/>
        <v>CM PL E7 Food</v>
      </c>
      <c r="O172" s="72" t="str">
        <f t="shared" si="5"/>
        <v>CM PL E7-5 Tea and Refreshment Exp</v>
      </c>
    </row>
    <row r="173" spans="1:15">
      <c r="A173" s="49" t="s">
        <v>885</v>
      </c>
      <c r="B173" s="49" t="s">
        <v>885</v>
      </c>
      <c r="C173" s="66" t="s">
        <v>802</v>
      </c>
      <c r="D173" s="66" t="s">
        <v>564</v>
      </c>
      <c r="E173" s="66">
        <v>7</v>
      </c>
      <c r="F173" s="66" t="s">
        <v>514</v>
      </c>
      <c r="G173" s="66">
        <v>6</v>
      </c>
      <c r="H173" s="66" t="s">
        <v>501</v>
      </c>
      <c r="J173" s="74" t="str">
        <f t="shared" si="0"/>
        <v>CM CF E G&amp;A Cost</v>
      </c>
      <c r="K173" s="75" t="str">
        <f t="shared" si="1"/>
        <v>CM CF E7 Food</v>
      </c>
      <c r="L173" s="76" t="str">
        <f t="shared" si="2"/>
        <v>CM CF E7-6 Pantry Material</v>
      </c>
      <c r="M173" s="70" t="str">
        <f t="shared" si="3"/>
        <v>CM PL E G&amp;A Cost</v>
      </c>
      <c r="N173" s="71" t="str">
        <f t="shared" si="4"/>
        <v>CM PL E7 Food</v>
      </c>
      <c r="O173" s="72" t="str">
        <f t="shared" si="5"/>
        <v>CM PL E7-6 Pantry Material</v>
      </c>
    </row>
    <row r="174" spans="1:15">
      <c r="A174" s="49" t="s">
        <v>885</v>
      </c>
      <c r="B174" s="49" t="s">
        <v>885</v>
      </c>
      <c r="C174" s="66" t="s">
        <v>802</v>
      </c>
      <c r="D174" s="66" t="s">
        <v>564</v>
      </c>
      <c r="E174" s="66">
        <v>8</v>
      </c>
      <c r="F174" s="66" t="s">
        <v>499</v>
      </c>
      <c r="G174" s="66">
        <v>1</v>
      </c>
      <c r="H174" s="66" t="s">
        <v>497</v>
      </c>
      <c r="J174" s="74" t="str">
        <f t="shared" si="0"/>
        <v>CM CF E G&amp;A Cost</v>
      </c>
      <c r="K174" s="75" t="str">
        <f t="shared" si="1"/>
        <v>CM CF E8 Staff Uniform</v>
      </c>
      <c r="L174" s="76" t="str">
        <f t="shared" si="2"/>
        <v>CM CF E8-1 Uniform</v>
      </c>
      <c r="M174" s="70" t="str">
        <f t="shared" si="3"/>
        <v>CM PL E G&amp;A Cost</v>
      </c>
      <c r="N174" s="71" t="str">
        <f t="shared" si="4"/>
        <v>CM PL E8 Staff Uniform</v>
      </c>
      <c r="O174" s="72" t="str">
        <f t="shared" si="5"/>
        <v>CM PL E8-1 Uniform</v>
      </c>
    </row>
    <row r="175" spans="1:15">
      <c r="A175" s="49" t="s">
        <v>885</v>
      </c>
      <c r="B175" s="49" t="s">
        <v>885</v>
      </c>
      <c r="C175" s="66" t="s">
        <v>802</v>
      </c>
      <c r="D175" s="66" t="s">
        <v>564</v>
      </c>
      <c r="E175" s="66">
        <v>9</v>
      </c>
      <c r="F175" s="66" t="s">
        <v>496</v>
      </c>
      <c r="G175" s="66">
        <v>1</v>
      </c>
      <c r="H175" s="66" t="s">
        <v>494</v>
      </c>
      <c r="J175" s="74" t="str">
        <f t="shared" si="0"/>
        <v>CM CF E G&amp;A Cost</v>
      </c>
      <c r="K175" s="75" t="str">
        <f t="shared" si="1"/>
        <v>CM CF E9 Local Tax/ Fees Paid</v>
      </c>
      <c r="L175" s="76" t="str">
        <f t="shared" si="2"/>
        <v>CM CF E9-1 Property Tax</v>
      </c>
      <c r="M175" s="70" t="str">
        <f t="shared" si="3"/>
        <v>CM PL E G&amp;A Cost</v>
      </c>
      <c r="N175" s="71" t="str">
        <f t="shared" si="4"/>
        <v>CM PL E9 Local Tax/ Fees Paid</v>
      </c>
      <c r="O175" s="72" t="str">
        <f t="shared" si="5"/>
        <v>CM PL E9-1 Property Tax</v>
      </c>
    </row>
    <row r="176" spans="1:15">
      <c r="A176" s="49" t="s">
        <v>885</v>
      </c>
      <c r="B176" s="49" t="s">
        <v>885</v>
      </c>
      <c r="C176" s="66" t="s">
        <v>802</v>
      </c>
      <c r="D176" s="66" t="s">
        <v>564</v>
      </c>
      <c r="E176" s="66">
        <v>9</v>
      </c>
      <c r="F176" s="66" t="s">
        <v>496</v>
      </c>
      <c r="G176" s="66">
        <v>2</v>
      </c>
      <c r="H176" s="66" t="s">
        <v>491</v>
      </c>
      <c r="J176" s="74" t="str">
        <f t="shared" si="0"/>
        <v>CM CF E G&amp;A Cost</v>
      </c>
      <c r="K176" s="75" t="str">
        <f t="shared" si="1"/>
        <v>CM CF E9 Local Tax/ Fees Paid</v>
      </c>
      <c r="L176" s="76" t="str">
        <f t="shared" si="2"/>
        <v xml:space="preserve">CM CF E9-2 Rera Fees </v>
      </c>
      <c r="M176" s="70" t="str">
        <f t="shared" si="3"/>
        <v>CM PL E G&amp;A Cost</v>
      </c>
      <c r="N176" s="71" t="str">
        <f t="shared" si="4"/>
        <v>CM PL E9 Local Tax/ Fees Paid</v>
      </c>
      <c r="O176" s="72" t="str">
        <f t="shared" si="5"/>
        <v xml:space="preserve">CM PL E9-2 Rera Fees </v>
      </c>
    </row>
    <row r="177" spans="1:15">
      <c r="A177" s="49" t="s">
        <v>885</v>
      </c>
      <c r="B177" s="49" t="s">
        <v>885</v>
      </c>
      <c r="C177" s="66" t="s">
        <v>802</v>
      </c>
      <c r="D177" s="66" t="s">
        <v>564</v>
      </c>
      <c r="E177" s="66">
        <v>10</v>
      </c>
      <c r="F177" s="66" t="s">
        <v>490</v>
      </c>
      <c r="G177" s="66">
        <v>1</v>
      </c>
      <c r="H177" s="66" t="s">
        <v>488</v>
      </c>
      <c r="J177" s="74" t="str">
        <f t="shared" si="0"/>
        <v>CM CF E G&amp;A Cost</v>
      </c>
      <c r="K177" s="75" t="str">
        <f t="shared" si="1"/>
        <v>CM CF E10 Misc Exp</v>
      </c>
      <c r="L177" s="76" t="str">
        <f t="shared" si="2"/>
        <v>CM CF E10-1 Bank Charges</v>
      </c>
      <c r="M177" s="70" t="str">
        <f t="shared" si="3"/>
        <v>CM PL E G&amp;A Cost</v>
      </c>
      <c r="N177" s="71" t="str">
        <f t="shared" si="4"/>
        <v>CM PL E10 Misc Exp</v>
      </c>
      <c r="O177" s="72" t="str">
        <f t="shared" si="5"/>
        <v>CM PL E10-1 Bank Charges</v>
      </c>
    </row>
    <row r="178" spans="1:15">
      <c r="A178" s="49" t="s">
        <v>885</v>
      </c>
      <c r="B178" s="49" t="s">
        <v>885</v>
      </c>
      <c r="C178" s="66" t="s">
        <v>802</v>
      </c>
      <c r="D178" s="66" t="s">
        <v>564</v>
      </c>
      <c r="E178" s="66">
        <v>10</v>
      </c>
      <c r="F178" s="66" t="s">
        <v>490</v>
      </c>
      <c r="G178" s="66">
        <v>2</v>
      </c>
      <c r="H178" s="66" t="s">
        <v>486</v>
      </c>
      <c r="J178" s="74" t="str">
        <f t="shared" si="0"/>
        <v>CM CF E G&amp;A Cost</v>
      </c>
      <c r="K178" s="75" t="str">
        <f t="shared" si="1"/>
        <v>CM CF E10 Misc Exp</v>
      </c>
      <c r="L178" s="76" t="str">
        <f t="shared" si="2"/>
        <v>CM CF E10-2 Rounding off</v>
      </c>
      <c r="M178" s="70" t="str">
        <f t="shared" si="3"/>
        <v>CM PL E G&amp;A Cost</v>
      </c>
      <c r="N178" s="71" t="str">
        <f t="shared" si="4"/>
        <v>CM PL E10 Misc Exp</v>
      </c>
      <c r="O178" s="72" t="str">
        <f t="shared" si="5"/>
        <v>CM PL E10-2 Rounding off</v>
      </c>
    </row>
    <row r="179" spans="1:15">
      <c r="A179" s="49" t="s">
        <v>885</v>
      </c>
      <c r="B179" s="49" t="s">
        <v>885</v>
      </c>
      <c r="C179" s="66" t="s">
        <v>802</v>
      </c>
      <c r="D179" s="66" t="s">
        <v>564</v>
      </c>
      <c r="E179" s="66">
        <v>10</v>
      </c>
      <c r="F179" s="66" t="s">
        <v>490</v>
      </c>
      <c r="G179" s="66">
        <v>3</v>
      </c>
      <c r="H179" s="66" t="s">
        <v>484</v>
      </c>
      <c r="J179" s="74" t="str">
        <f t="shared" si="0"/>
        <v>CM CF E G&amp;A Cost</v>
      </c>
      <c r="K179" s="75" t="str">
        <f t="shared" si="1"/>
        <v>CM CF E10 Misc Exp</v>
      </c>
      <c r="L179" s="76" t="str">
        <f t="shared" si="2"/>
        <v>CM CF E10-3 Other Misc. Expenses</v>
      </c>
      <c r="M179" s="70" t="str">
        <f t="shared" si="3"/>
        <v>CM PL E G&amp;A Cost</v>
      </c>
      <c r="N179" s="71" t="str">
        <f t="shared" si="4"/>
        <v>CM PL E10 Misc Exp</v>
      </c>
      <c r="O179" s="72" t="str">
        <f t="shared" si="5"/>
        <v>CM PL E10-3 Other Misc. Expenses</v>
      </c>
    </row>
    <row r="180" spans="1:15">
      <c r="A180" s="49" t="s">
        <v>885</v>
      </c>
      <c r="B180" s="49" t="s">
        <v>885</v>
      </c>
      <c r="C180" s="66" t="s">
        <v>802</v>
      </c>
      <c r="D180" s="66" t="s">
        <v>564</v>
      </c>
      <c r="E180" s="66">
        <v>10</v>
      </c>
      <c r="F180" s="66" t="s">
        <v>490</v>
      </c>
      <c r="G180" s="66">
        <v>4</v>
      </c>
      <c r="H180" s="66" t="s">
        <v>481</v>
      </c>
      <c r="J180" s="74" t="str">
        <f t="shared" si="0"/>
        <v>CM CF E G&amp;A Cost</v>
      </c>
      <c r="K180" s="75" t="str">
        <f t="shared" si="1"/>
        <v>CM CF E10 Misc Exp</v>
      </c>
      <c r="L180" s="76" t="str">
        <f t="shared" si="2"/>
        <v>CM CF E10-4 Printing and Stationery Exp</v>
      </c>
      <c r="M180" s="70" t="str">
        <f t="shared" si="3"/>
        <v>CM PL E G&amp;A Cost</v>
      </c>
      <c r="N180" s="71" t="str">
        <f t="shared" si="4"/>
        <v>CM PL E10 Misc Exp</v>
      </c>
      <c r="O180" s="72" t="str">
        <f t="shared" si="5"/>
        <v>CM PL E10-4 Printing and Stationery Exp</v>
      </c>
    </row>
    <row r="181" spans="1:15">
      <c r="A181" s="49" t="s">
        <v>885</v>
      </c>
      <c r="B181" s="49" t="s">
        <v>885</v>
      </c>
      <c r="C181" s="66" t="s">
        <v>802</v>
      </c>
      <c r="D181" s="66" t="s">
        <v>564</v>
      </c>
      <c r="E181" s="66">
        <v>11</v>
      </c>
      <c r="F181" s="66" t="s">
        <v>479</v>
      </c>
      <c r="G181" s="66">
        <v>1</v>
      </c>
      <c r="H181" s="66" t="s">
        <v>477</v>
      </c>
      <c r="J181" s="74" t="str">
        <f t="shared" si="0"/>
        <v>CM CF E G&amp;A Cost</v>
      </c>
      <c r="K181" s="75" t="str">
        <f t="shared" si="1"/>
        <v xml:space="preserve">CM CF E11 Insurance </v>
      </c>
      <c r="L181" s="76" t="str">
        <f t="shared" si="2"/>
        <v>CM CF E11-1 Insurance Expenses</v>
      </c>
      <c r="M181" s="70" t="str">
        <f t="shared" si="3"/>
        <v>CM PL E G&amp;A Cost</v>
      </c>
      <c r="N181" s="71" t="str">
        <f t="shared" si="4"/>
        <v xml:space="preserve">CM PL E11 Insurance </v>
      </c>
      <c r="O181" s="72" t="str">
        <f t="shared" si="5"/>
        <v>CM PL E11-1 Insurance Expenses</v>
      </c>
    </row>
    <row r="182" spans="1:15">
      <c r="A182" s="49" t="s">
        <v>885</v>
      </c>
      <c r="B182" s="49" t="s">
        <v>885</v>
      </c>
      <c r="C182" s="66" t="s">
        <v>802</v>
      </c>
      <c r="D182" s="66" t="s">
        <v>564</v>
      </c>
      <c r="E182" s="66">
        <v>12</v>
      </c>
      <c r="F182" s="66" t="s">
        <v>475</v>
      </c>
      <c r="G182" s="66">
        <v>1</v>
      </c>
      <c r="H182" s="66" t="s">
        <v>473</v>
      </c>
      <c r="J182" s="74" t="str">
        <f t="shared" si="0"/>
        <v>CM CF E G&amp;A Cost</v>
      </c>
      <c r="K182" s="75" t="str">
        <f t="shared" si="1"/>
        <v xml:space="preserve">CM CF E12 Annual fess </v>
      </c>
      <c r="L182" s="76" t="str">
        <f t="shared" si="2"/>
        <v>CM CF E12-1 Credai</v>
      </c>
      <c r="M182" s="70" t="str">
        <f t="shared" si="3"/>
        <v>CM PL E G&amp;A Cost</v>
      </c>
      <c r="N182" s="71" t="str">
        <f t="shared" si="4"/>
        <v xml:space="preserve">CM PL E12 Annual fess </v>
      </c>
      <c r="O182" s="72" t="str">
        <f t="shared" si="5"/>
        <v>CM PL E12-1 Credai</v>
      </c>
    </row>
    <row r="183" spans="1:15">
      <c r="A183" s="49" t="s">
        <v>885</v>
      </c>
      <c r="B183" s="49" t="s">
        <v>885</v>
      </c>
      <c r="C183" s="66" t="s">
        <v>802</v>
      </c>
      <c r="D183" s="66" t="s">
        <v>564</v>
      </c>
      <c r="E183" s="66">
        <v>12</v>
      </c>
      <c r="F183" s="66" t="s">
        <v>475</v>
      </c>
      <c r="G183" s="66">
        <v>2</v>
      </c>
      <c r="H183" s="66" t="s">
        <v>471</v>
      </c>
      <c r="J183" s="74" t="str">
        <f t="shared" si="0"/>
        <v>CM CF E G&amp;A Cost</v>
      </c>
      <c r="K183" s="75" t="str">
        <f t="shared" si="1"/>
        <v xml:space="preserve">CM CF E12 Annual fess </v>
      </c>
      <c r="L183" s="76" t="str">
        <f t="shared" si="2"/>
        <v>CM CF E12-2 Software renewal chg</v>
      </c>
      <c r="M183" s="70" t="str">
        <f t="shared" si="3"/>
        <v>CM PL E G&amp;A Cost</v>
      </c>
      <c r="N183" s="71" t="str">
        <f t="shared" si="4"/>
        <v xml:space="preserve">CM PL E12 Annual fess </v>
      </c>
      <c r="O183" s="72" t="str">
        <f t="shared" si="5"/>
        <v>CM PL E12-2 Software renewal chg</v>
      </c>
    </row>
    <row r="184" spans="1:15">
      <c r="A184" s="49" t="s">
        <v>885</v>
      </c>
      <c r="B184" s="49" t="s">
        <v>885</v>
      </c>
      <c r="C184" s="66" t="s">
        <v>802</v>
      </c>
      <c r="D184" s="66" t="s">
        <v>564</v>
      </c>
      <c r="E184" s="66">
        <v>13</v>
      </c>
      <c r="F184" s="66" t="s">
        <v>948</v>
      </c>
      <c r="G184" s="66">
        <v>1</v>
      </c>
      <c r="H184" s="66" t="s">
        <v>949</v>
      </c>
      <c r="J184" s="74" t="str">
        <f t="shared" si="0"/>
        <v>CM CF E G&amp;A Cost</v>
      </c>
      <c r="K184" s="75" t="str">
        <f t="shared" si="1"/>
        <v xml:space="preserve">CM CF E13 Credit Card </v>
      </c>
      <c r="L184" s="76" t="str">
        <f t="shared" si="2"/>
        <v>CM CF E13-1 Gaurav  Sir Credit Card Expenses</v>
      </c>
      <c r="M184" s="70" t="str">
        <f t="shared" si="3"/>
        <v>CM PL E G&amp;A Cost</v>
      </c>
      <c r="N184" s="71" t="str">
        <f t="shared" ref="N184" si="7">IF(M184=0,0,IF(ISBLANK($F184)=FALSE,CONCATENATE(,$C$2," ",$M$2," ",$C184,$E184," ",$F184),0))</f>
        <v xml:space="preserve">CM PL E13 Credit Card </v>
      </c>
      <c r="O184" s="72" t="str">
        <f t="shared" ref="O184" si="8">IF(N184=0,0,IF(ISBLANK($F184)=FALSE,CONCATENATE(,$C$2," ",$M$2," ",$C184,$E184,,"-",$G184,," ",$H184),0))</f>
        <v>CM PL E13-1 Gaurav  Sir Credit Card Expenses</v>
      </c>
    </row>
    <row r="185" spans="1:15">
      <c r="A185" s="49" t="s">
        <v>885</v>
      </c>
      <c r="B185" s="49" t="s">
        <v>885</v>
      </c>
      <c r="C185" s="66" t="s">
        <v>791</v>
      </c>
      <c r="D185" s="66" t="s">
        <v>896</v>
      </c>
      <c r="E185" s="66">
        <v>1</v>
      </c>
      <c r="F185" s="66" t="s">
        <v>468</v>
      </c>
      <c r="G185" s="66">
        <v>1</v>
      </c>
      <c r="H185" s="66" t="s">
        <v>466</v>
      </c>
      <c r="I185" s="55" t="s">
        <v>465</v>
      </c>
      <c r="J185" s="74" t="str">
        <f t="shared" si="0"/>
        <v>CM CF F Finance Cost</v>
      </c>
      <c r="K185" s="75" t="str">
        <f t="shared" si="1"/>
        <v>CM CF F1 Interest</v>
      </c>
      <c r="L185" s="76" t="str">
        <f t="shared" si="2"/>
        <v>CM CF F1-1 Bank Loan Interest</v>
      </c>
      <c r="M185" s="70" t="str">
        <f t="shared" si="3"/>
        <v>CM PL F Finance Cost</v>
      </c>
      <c r="N185" s="71" t="str">
        <f t="shared" si="4"/>
        <v>CM PL F1 Interest</v>
      </c>
      <c r="O185" s="72" t="str">
        <f t="shared" si="5"/>
        <v>CM PL F1-1 Bank Loan Interest</v>
      </c>
    </row>
    <row r="186" spans="1:15">
      <c r="A186" s="49" t="s">
        <v>885</v>
      </c>
      <c r="B186" s="49" t="s">
        <v>885</v>
      </c>
      <c r="C186" s="66" t="s">
        <v>791</v>
      </c>
      <c r="D186" s="66" t="s">
        <v>896</v>
      </c>
      <c r="E186" s="66">
        <v>1</v>
      </c>
      <c r="F186" s="66" t="s">
        <v>468</v>
      </c>
      <c r="G186" s="66">
        <v>2</v>
      </c>
      <c r="H186" s="66" t="s">
        <v>463</v>
      </c>
      <c r="I186" s="55" t="s">
        <v>462</v>
      </c>
      <c r="J186" s="74" t="str">
        <f t="shared" si="0"/>
        <v>CM CF F Finance Cost</v>
      </c>
      <c r="K186" s="75" t="str">
        <f t="shared" si="1"/>
        <v>CM CF F1 Interest</v>
      </c>
      <c r="L186" s="76" t="str">
        <f t="shared" si="2"/>
        <v>CM CF F1-2 Investor Return</v>
      </c>
      <c r="M186" s="70" t="str">
        <f t="shared" si="3"/>
        <v>CM PL F Finance Cost</v>
      </c>
      <c r="N186" s="71" t="str">
        <f t="shared" si="4"/>
        <v>CM PL F1 Interest</v>
      </c>
      <c r="O186" s="72" t="str">
        <f t="shared" si="5"/>
        <v>CM PL F1-2 Investor Return</v>
      </c>
    </row>
    <row r="187" spans="1:15">
      <c r="A187" s="49" t="s">
        <v>885</v>
      </c>
      <c r="B187" s="49" t="s">
        <v>885</v>
      </c>
      <c r="C187" s="66" t="s">
        <v>791</v>
      </c>
      <c r="D187" s="66" t="s">
        <v>896</v>
      </c>
      <c r="E187" s="66">
        <v>1</v>
      </c>
      <c r="F187" s="66" t="s">
        <v>468</v>
      </c>
      <c r="G187" s="66">
        <v>3</v>
      </c>
      <c r="H187" s="66" t="s">
        <v>460</v>
      </c>
      <c r="I187" s="55" t="s">
        <v>459</v>
      </c>
      <c r="J187" s="74" t="str">
        <f t="shared" si="0"/>
        <v>CM CF F Finance Cost</v>
      </c>
      <c r="K187" s="75" t="str">
        <f t="shared" si="1"/>
        <v>CM CF F1 Interest</v>
      </c>
      <c r="L187" s="76" t="str">
        <f t="shared" si="2"/>
        <v>CM CF F1-3 Partner Return</v>
      </c>
      <c r="M187" s="70" t="str">
        <f t="shared" si="3"/>
        <v>CM PL F Finance Cost</v>
      </c>
      <c r="N187" s="71" t="str">
        <f t="shared" si="4"/>
        <v>CM PL F1 Interest</v>
      </c>
      <c r="O187" s="72" t="str">
        <f t="shared" si="5"/>
        <v>CM PL F1-3 Partner Return</v>
      </c>
    </row>
    <row r="188" spans="1:15">
      <c r="A188" s="49" t="s">
        <v>885</v>
      </c>
      <c r="B188" s="49" t="s">
        <v>885</v>
      </c>
      <c r="C188" s="66" t="s">
        <v>791</v>
      </c>
      <c r="D188" s="66" t="s">
        <v>896</v>
      </c>
      <c r="E188" s="66">
        <v>1</v>
      </c>
      <c r="F188" s="66" t="s">
        <v>468</v>
      </c>
      <c r="G188" s="66">
        <v>4</v>
      </c>
      <c r="H188" s="66" t="s">
        <v>456</v>
      </c>
      <c r="J188" s="74" t="str">
        <f t="shared" si="0"/>
        <v>CM CF F Finance Cost</v>
      </c>
      <c r="K188" s="75" t="str">
        <f t="shared" si="1"/>
        <v>CM CF F1 Interest</v>
      </c>
      <c r="L188" s="76" t="str">
        <f t="shared" si="2"/>
        <v>CM CF F1-4 Other unsecured loan</v>
      </c>
      <c r="M188" s="70" t="str">
        <f t="shared" si="3"/>
        <v>CM PL F Finance Cost</v>
      </c>
      <c r="N188" s="71" t="str">
        <f t="shared" si="4"/>
        <v>CM PL F1 Interest</v>
      </c>
      <c r="O188" s="72" t="str">
        <f t="shared" si="5"/>
        <v>CM PL F1-4 Other unsecured loan</v>
      </c>
    </row>
    <row r="189" spans="1:15">
      <c r="A189" s="49" t="s">
        <v>885</v>
      </c>
      <c r="B189" s="49" t="s">
        <v>885</v>
      </c>
      <c r="C189" s="66" t="s">
        <v>779</v>
      </c>
      <c r="D189" s="66" t="s">
        <v>894</v>
      </c>
      <c r="E189" s="66">
        <v>1</v>
      </c>
      <c r="F189" s="66" t="s">
        <v>895</v>
      </c>
      <c r="G189" s="66">
        <v>1</v>
      </c>
      <c r="H189" s="66" t="s">
        <v>89</v>
      </c>
      <c r="J189" s="74" t="str">
        <f t="shared" si="0"/>
        <v>CM CF G Statutory Taxes/Interest/Penalty</v>
      </c>
      <c r="K189" s="75" t="str">
        <f t="shared" si="1"/>
        <v>CM CF G1 Interrest &amp; Penalty</v>
      </c>
      <c r="L189" s="76" t="str">
        <f t="shared" si="2"/>
        <v>CM CF G1-1 GST</v>
      </c>
      <c r="M189" s="70" t="str">
        <f t="shared" si="3"/>
        <v>CM PL G Statutory Taxes/Interest/Penalty</v>
      </c>
      <c r="N189" s="71" t="str">
        <f t="shared" si="4"/>
        <v>CM PL G1 Interrest &amp; Penalty</v>
      </c>
      <c r="O189" s="72" t="str">
        <f t="shared" si="5"/>
        <v>CM PL G1-1 GST</v>
      </c>
    </row>
    <row r="190" spans="1:15">
      <c r="A190" s="49" t="s">
        <v>885</v>
      </c>
      <c r="B190" s="49" t="s">
        <v>885</v>
      </c>
      <c r="C190" s="66" t="s">
        <v>779</v>
      </c>
      <c r="D190" s="66" t="s">
        <v>894</v>
      </c>
      <c r="E190" s="66">
        <v>1</v>
      </c>
      <c r="F190" s="66" t="s">
        <v>895</v>
      </c>
      <c r="G190" s="66">
        <v>2</v>
      </c>
      <c r="H190" s="66" t="s">
        <v>61</v>
      </c>
      <c r="J190" s="74" t="str">
        <f t="shared" si="0"/>
        <v>CM CF G Statutory Taxes/Interest/Penalty</v>
      </c>
      <c r="K190" s="75" t="str">
        <f t="shared" si="1"/>
        <v>CM CF G1 Interrest &amp; Penalty</v>
      </c>
      <c r="L190" s="76" t="str">
        <f t="shared" si="2"/>
        <v>CM CF G1-2 Income Tax</v>
      </c>
      <c r="M190" s="70" t="str">
        <f t="shared" si="3"/>
        <v>CM PL G Statutory Taxes/Interest/Penalty</v>
      </c>
      <c r="N190" s="71" t="str">
        <f t="shared" si="4"/>
        <v>CM PL G1 Interrest &amp; Penalty</v>
      </c>
      <c r="O190" s="72" t="str">
        <f t="shared" si="5"/>
        <v>CM PL G1-2 Income Tax</v>
      </c>
    </row>
    <row r="191" spans="1:15">
      <c r="A191" s="49" t="s">
        <v>885</v>
      </c>
      <c r="B191" s="49" t="s">
        <v>885</v>
      </c>
      <c r="C191" s="66" t="s">
        <v>779</v>
      </c>
      <c r="D191" s="66" t="s">
        <v>894</v>
      </c>
      <c r="E191" s="66">
        <v>1</v>
      </c>
      <c r="F191" s="66" t="s">
        <v>895</v>
      </c>
      <c r="G191" s="66">
        <v>3</v>
      </c>
      <c r="H191" s="66" t="s">
        <v>451</v>
      </c>
      <c r="J191" s="74" t="str">
        <f t="shared" si="0"/>
        <v>CM CF G Statutory Taxes/Interest/Penalty</v>
      </c>
      <c r="K191" s="75" t="str">
        <f t="shared" si="1"/>
        <v>CM CF G1 Interrest &amp; Penalty</v>
      </c>
      <c r="L191" s="76" t="str">
        <f t="shared" si="2"/>
        <v>CM CF G1-3 TDS</v>
      </c>
      <c r="M191" s="70" t="str">
        <f t="shared" si="3"/>
        <v>CM PL G Statutory Taxes/Interest/Penalty</v>
      </c>
      <c r="N191" s="71" t="str">
        <f t="shared" si="4"/>
        <v>CM PL G1 Interrest &amp; Penalty</v>
      </c>
      <c r="O191" s="72" t="str">
        <f t="shared" si="5"/>
        <v>CM PL G1-3 TDS</v>
      </c>
    </row>
    <row r="192" spans="1:15" s="101" customFormat="1">
      <c r="A192" s="95" t="s">
        <v>886</v>
      </c>
      <c r="B192" s="95" t="s">
        <v>885</v>
      </c>
      <c r="C192" s="87" t="s">
        <v>779</v>
      </c>
      <c r="D192" s="87" t="s">
        <v>894</v>
      </c>
      <c r="E192" s="87">
        <v>2</v>
      </c>
      <c r="F192" s="87" t="s">
        <v>952</v>
      </c>
      <c r="G192" s="87">
        <v>1</v>
      </c>
      <c r="H192" s="87" t="s">
        <v>953</v>
      </c>
      <c r="I192" s="88"/>
      <c r="J192" s="97">
        <f t="shared" si="0"/>
        <v>0</v>
      </c>
      <c r="K192" s="98">
        <f t="shared" si="1"/>
        <v>0</v>
      </c>
      <c r="L192" s="77">
        <f t="shared" si="2"/>
        <v>0</v>
      </c>
      <c r="M192" s="99" t="str">
        <f t="shared" si="3"/>
        <v>CM PL G Statutory Taxes/Interest/Penalty</v>
      </c>
      <c r="N192" s="100" t="str">
        <f t="shared" ref="N192" si="9">IF(M192=0,0,IF(ISBLANK($F192)=FALSE,CONCATENATE(,$C$2," ",$M$2," ",$C192,$E192," ",$F192),0))</f>
        <v>CM PL G2 GST ITC Expense</v>
      </c>
      <c r="O192" s="73" t="str">
        <f t="shared" ref="O192" si="10">IF(N192=0,0,IF(ISBLANK($F192)=FALSE,CONCATENATE(,$C$2," ",$M$2," ",$C192,$E192,,"-",$G192,," ",$H192),0))</f>
        <v>CM PL G2-1 GST  ITC Expense out</v>
      </c>
    </row>
    <row r="193" spans="1:15" s="101" customFormat="1">
      <c r="A193" s="95" t="s">
        <v>886</v>
      </c>
      <c r="B193" s="95" t="s">
        <v>885</v>
      </c>
      <c r="C193" s="87" t="s">
        <v>779</v>
      </c>
      <c r="D193" s="87" t="s">
        <v>894</v>
      </c>
      <c r="E193" s="87">
        <v>3</v>
      </c>
      <c r="F193" s="87" t="s">
        <v>61</v>
      </c>
      <c r="G193" s="87">
        <v>1</v>
      </c>
      <c r="H193" s="87" t="s">
        <v>950</v>
      </c>
      <c r="I193" s="88"/>
      <c r="J193" s="97">
        <f t="shared" si="0"/>
        <v>0</v>
      </c>
      <c r="K193" s="98">
        <f t="shared" si="1"/>
        <v>0</v>
      </c>
      <c r="L193" s="77">
        <f t="shared" si="2"/>
        <v>0</v>
      </c>
      <c r="M193" s="99" t="str">
        <f t="shared" si="3"/>
        <v>CM PL G Statutory Taxes/Interest/Penalty</v>
      </c>
      <c r="N193" s="100" t="str">
        <f t="shared" ref="N193:N194" si="11">IF(M193=0,0,IF(ISBLANK($F193)=FALSE,CONCATENATE(,$C$2," ",$M$2," ",$C193,$E193," ",$F193),0))</f>
        <v>CM PL G3 Income Tax</v>
      </c>
      <c r="O193" s="73" t="str">
        <f t="shared" ref="O193:O194" si="12">IF(N193=0,0,IF(ISBLANK($F193)=FALSE,CONCATENATE(,$C$2," ",$M$2," ",$C193,$E193,,"-",$G193,," ",$H193),0))</f>
        <v xml:space="preserve">CM PL G3-1 Direct Tax </v>
      </c>
    </row>
    <row r="194" spans="1:15" s="101" customFormat="1">
      <c r="A194" s="95" t="s">
        <v>886</v>
      </c>
      <c r="B194" s="95" t="s">
        <v>885</v>
      </c>
      <c r="C194" s="87" t="s">
        <v>779</v>
      </c>
      <c r="D194" s="87" t="s">
        <v>894</v>
      </c>
      <c r="E194" s="87">
        <v>4</v>
      </c>
      <c r="F194" s="87" t="s">
        <v>451</v>
      </c>
      <c r="G194" s="87">
        <v>1</v>
      </c>
      <c r="H194" s="87" t="s">
        <v>951</v>
      </c>
      <c r="I194" s="88"/>
      <c r="J194" s="97">
        <f t="shared" si="0"/>
        <v>0</v>
      </c>
      <c r="K194" s="98">
        <f t="shared" si="1"/>
        <v>0</v>
      </c>
      <c r="L194" s="77">
        <f t="shared" si="2"/>
        <v>0</v>
      </c>
      <c r="M194" s="99" t="str">
        <f t="shared" si="3"/>
        <v>CM PL G Statutory Taxes/Interest/Penalty</v>
      </c>
      <c r="N194" s="100" t="str">
        <f t="shared" si="11"/>
        <v>CM PL G4 TDS</v>
      </c>
      <c r="O194" s="73" t="str">
        <f t="shared" si="12"/>
        <v>CM PL G4-1 TDS Payable</v>
      </c>
    </row>
    <row r="195" spans="1:15">
      <c r="A195" s="49" t="s">
        <v>886</v>
      </c>
      <c r="B195" s="49" t="s">
        <v>885</v>
      </c>
      <c r="C195" s="66" t="s">
        <v>767</v>
      </c>
      <c r="D195" s="66" t="s">
        <v>910</v>
      </c>
      <c r="E195" s="66">
        <v>1</v>
      </c>
      <c r="F195" s="66" t="s">
        <v>910</v>
      </c>
      <c r="G195" s="66">
        <v>1</v>
      </c>
      <c r="H195" s="66" t="s">
        <v>4</v>
      </c>
      <c r="J195" s="97">
        <f t="shared" si="0"/>
        <v>0</v>
      </c>
      <c r="K195" s="98">
        <f t="shared" si="1"/>
        <v>0</v>
      </c>
      <c r="L195" s="77">
        <f t="shared" si="2"/>
        <v>0</v>
      </c>
      <c r="M195" s="70" t="str">
        <f>IF($B195="No",0,IF(ISBLANK($D195)=FALSE,CONCATENATE(,$C$2," ",$M$2," ",$C195," ",$D195),0))</f>
        <v>CM PL H Depreciation</v>
      </c>
      <c r="N195" s="71" t="str">
        <f t="shared" si="4"/>
        <v>CM PL H1 Depreciation</v>
      </c>
      <c r="O195" s="72" t="str">
        <f t="shared" si="5"/>
        <v>CM PL H1-1 Computer and peripherals</v>
      </c>
    </row>
    <row r="196" spans="1:15">
      <c r="A196" s="49" t="s">
        <v>886</v>
      </c>
      <c r="B196" s="49" t="s">
        <v>885</v>
      </c>
      <c r="C196" s="66" t="s">
        <v>767</v>
      </c>
      <c r="D196" s="66" t="s">
        <v>910</v>
      </c>
      <c r="E196" s="66">
        <v>1</v>
      </c>
      <c r="F196" s="66" t="s">
        <v>910</v>
      </c>
      <c r="G196" s="66">
        <v>2</v>
      </c>
      <c r="H196" s="66" t="s">
        <v>2</v>
      </c>
      <c r="J196" s="97">
        <f t="shared" si="0"/>
        <v>0</v>
      </c>
      <c r="K196" s="98">
        <f t="shared" si="1"/>
        <v>0</v>
      </c>
      <c r="L196" s="77">
        <f t="shared" si="2"/>
        <v>0</v>
      </c>
      <c r="M196" s="70" t="str">
        <f t="shared" si="3"/>
        <v>CM PL H Depreciation</v>
      </c>
      <c r="N196" s="71" t="str">
        <f t="shared" si="4"/>
        <v>CM PL H1 Depreciation</v>
      </c>
      <c r="O196" s="72" t="str">
        <f t="shared" si="5"/>
        <v>CM PL H1-2 Vehicle</v>
      </c>
    </row>
    <row r="197" spans="1:15">
      <c r="A197" s="49" t="s">
        <v>886</v>
      </c>
      <c r="B197" s="49" t="s">
        <v>885</v>
      </c>
      <c r="C197" s="66" t="s">
        <v>767</v>
      </c>
      <c r="D197" s="66" t="s">
        <v>910</v>
      </c>
      <c r="E197" s="66">
        <v>1</v>
      </c>
      <c r="F197" s="66" t="s">
        <v>910</v>
      </c>
      <c r="G197" s="66">
        <v>3</v>
      </c>
      <c r="H197" s="66" t="s">
        <v>0</v>
      </c>
      <c r="J197" s="97">
        <f t="shared" si="0"/>
        <v>0</v>
      </c>
      <c r="K197" s="98">
        <f t="shared" si="1"/>
        <v>0</v>
      </c>
      <c r="L197" s="77">
        <f t="shared" si="2"/>
        <v>0</v>
      </c>
      <c r="M197" s="70" t="str">
        <f t="shared" si="3"/>
        <v>CM PL H Depreciation</v>
      </c>
      <c r="N197" s="71" t="str">
        <f t="shared" si="4"/>
        <v>CM PL H1 Depreciation</v>
      </c>
      <c r="O197" s="72" t="str">
        <f t="shared" si="5"/>
        <v>CM PL H1-3 Office Equipments</v>
      </c>
    </row>
    <row r="198" spans="1:15">
      <c r="A198" s="49" t="s">
        <v>885</v>
      </c>
      <c r="B198" s="49" t="s">
        <v>886</v>
      </c>
      <c r="C198" s="66" t="s">
        <v>741</v>
      </c>
      <c r="D198" s="66" t="s">
        <v>118</v>
      </c>
      <c r="E198" s="66">
        <v>1</v>
      </c>
      <c r="F198" s="66" t="s">
        <v>117</v>
      </c>
      <c r="G198" s="66">
        <v>1</v>
      </c>
      <c r="H198" s="66" t="s">
        <v>115</v>
      </c>
      <c r="J198" s="74" t="str">
        <f t="shared" si="0"/>
        <v>CM CF I Loans and Advance</v>
      </c>
      <c r="K198" s="75" t="str">
        <f t="shared" si="1"/>
        <v>CM CF I1 Loans &amp; Advances Given</v>
      </c>
      <c r="L198" s="76" t="str">
        <f t="shared" si="2"/>
        <v>CM CF I1-1 Third Party Advance Receivable</v>
      </c>
      <c r="M198" s="61">
        <f t="shared" si="3"/>
        <v>0</v>
      </c>
      <c r="N198" s="63">
        <f t="shared" si="4"/>
        <v>0</v>
      </c>
      <c r="O198" s="46">
        <f t="shared" si="5"/>
        <v>0</v>
      </c>
    </row>
    <row r="199" spans="1:15">
      <c r="A199" s="49" t="s">
        <v>885</v>
      </c>
      <c r="B199" s="49" t="s">
        <v>886</v>
      </c>
      <c r="C199" s="66" t="s">
        <v>741</v>
      </c>
      <c r="D199" s="66" t="s">
        <v>118</v>
      </c>
      <c r="E199" s="66">
        <v>1</v>
      </c>
      <c r="F199" s="66" t="s">
        <v>117</v>
      </c>
      <c r="G199" s="66">
        <v>2</v>
      </c>
      <c r="H199" s="66" t="s">
        <v>112</v>
      </c>
      <c r="J199" s="74" t="str">
        <f t="shared" si="0"/>
        <v>CM CF I Loans and Advance</v>
      </c>
      <c r="K199" s="75" t="str">
        <f t="shared" si="1"/>
        <v>CM CF I1 Loans &amp; Advances Given</v>
      </c>
      <c r="L199" s="76" t="str">
        <f t="shared" si="2"/>
        <v>CM CF I1-2 Related Party Advance Receivable</v>
      </c>
      <c r="M199" s="61">
        <f t="shared" si="3"/>
        <v>0</v>
      </c>
      <c r="N199" s="63">
        <f t="shared" si="4"/>
        <v>0</v>
      </c>
      <c r="O199" s="46">
        <f t="shared" si="5"/>
        <v>0</v>
      </c>
    </row>
    <row r="200" spans="1:15">
      <c r="A200" s="49" t="s">
        <v>885</v>
      </c>
      <c r="B200" s="49" t="s">
        <v>886</v>
      </c>
      <c r="C200" s="66" t="s">
        <v>741</v>
      </c>
      <c r="D200" s="66" t="s">
        <v>118</v>
      </c>
      <c r="E200" s="66">
        <v>1</v>
      </c>
      <c r="F200" s="66" t="s">
        <v>117</v>
      </c>
      <c r="G200" s="66">
        <v>3</v>
      </c>
      <c r="H200" s="66" t="s">
        <v>109</v>
      </c>
      <c r="J200" s="74" t="str">
        <f t="shared" si="0"/>
        <v>CM CF I Loans and Advance</v>
      </c>
      <c r="K200" s="75" t="str">
        <f t="shared" si="1"/>
        <v>CM CF I1 Loans &amp; Advances Given</v>
      </c>
      <c r="L200" s="76" t="str">
        <f t="shared" si="2"/>
        <v>CM CF I1-3 Director Advance receivable</v>
      </c>
      <c r="M200" s="61">
        <f t="shared" si="3"/>
        <v>0</v>
      </c>
      <c r="N200" s="63">
        <f t="shared" si="4"/>
        <v>0</v>
      </c>
      <c r="O200" s="46">
        <f t="shared" si="5"/>
        <v>0</v>
      </c>
    </row>
    <row r="201" spans="1:15">
      <c r="A201" s="49" t="s">
        <v>885</v>
      </c>
      <c r="B201" s="49" t="s">
        <v>886</v>
      </c>
      <c r="C201" s="66" t="s">
        <v>741</v>
      </c>
      <c r="D201" s="66" t="s">
        <v>118</v>
      </c>
      <c r="E201" s="66">
        <v>1</v>
      </c>
      <c r="F201" s="66" t="s">
        <v>117</v>
      </c>
      <c r="G201" s="66">
        <v>4</v>
      </c>
      <c r="H201" s="66" t="s">
        <v>105</v>
      </c>
      <c r="J201" s="74" t="str">
        <f t="shared" si="0"/>
        <v>CM CF I Loans and Advance</v>
      </c>
      <c r="K201" s="75" t="str">
        <f t="shared" si="1"/>
        <v>CM CF I1 Loans &amp; Advances Given</v>
      </c>
      <c r="L201" s="76" t="str">
        <f t="shared" si="2"/>
        <v>CM CF I1-4 Employees Advance</v>
      </c>
      <c r="M201" s="61">
        <f t="shared" si="3"/>
        <v>0</v>
      </c>
      <c r="N201" s="63">
        <f t="shared" si="4"/>
        <v>0</v>
      </c>
      <c r="O201" s="46">
        <f t="shared" si="5"/>
        <v>0</v>
      </c>
    </row>
    <row r="202" spans="1:15">
      <c r="A202" s="49" t="s">
        <v>885</v>
      </c>
      <c r="B202" s="49" t="s">
        <v>886</v>
      </c>
      <c r="C202" s="66" t="s">
        <v>741</v>
      </c>
      <c r="D202" s="66" t="s">
        <v>118</v>
      </c>
      <c r="E202" s="66">
        <v>1</v>
      </c>
      <c r="F202" s="66" t="s">
        <v>117</v>
      </c>
      <c r="G202" s="66">
        <v>5</v>
      </c>
      <c r="H202" s="66" t="s">
        <v>931</v>
      </c>
      <c r="J202" s="74" t="str">
        <f t="shared" si="0"/>
        <v>CM CF I Loans and Advance</v>
      </c>
      <c r="K202" s="75" t="str">
        <f t="shared" si="1"/>
        <v>CM CF I1 Loans &amp; Advances Given</v>
      </c>
      <c r="L202" s="76" t="str">
        <f t="shared" si="2"/>
        <v>CM CF I1-5 Vendor Advance</v>
      </c>
      <c r="M202" s="61"/>
      <c r="N202" s="63"/>
      <c r="O202" s="46"/>
    </row>
    <row r="203" spans="1:15">
      <c r="A203" s="49" t="s">
        <v>885</v>
      </c>
      <c r="B203" s="49" t="s">
        <v>886</v>
      </c>
      <c r="C203" s="66" t="s">
        <v>608</v>
      </c>
      <c r="D203" s="66" t="s">
        <v>909</v>
      </c>
      <c r="E203" s="66">
        <v>1</v>
      </c>
      <c r="F203" s="66" t="s">
        <v>4</v>
      </c>
      <c r="G203" s="66">
        <v>1</v>
      </c>
      <c r="H203" s="66" t="s">
        <v>4</v>
      </c>
      <c r="J203" s="74" t="str">
        <f t="shared" si="0"/>
        <v>CM CF J Fixed Assets</v>
      </c>
      <c r="K203" s="75" t="str">
        <f t="shared" si="1"/>
        <v>CM CF J1 Computer and peripherals</v>
      </c>
      <c r="L203" s="76" t="str">
        <f t="shared" si="2"/>
        <v>CM CF J1-1 Computer and peripherals</v>
      </c>
      <c r="M203" s="61">
        <f t="shared" si="3"/>
        <v>0</v>
      </c>
      <c r="N203" s="63">
        <f t="shared" si="4"/>
        <v>0</v>
      </c>
      <c r="O203" s="46">
        <f t="shared" si="5"/>
        <v>0</v>
      </c>
    </row>
    <row r="204" spans="1:15">
      <c r="A204" s="49" t="s">
        <v>885</v>
      </c>
      <c r="B204" s="49" t="s">
        <v>886</v>
      </c>
      <c r="C204" s="66" t="s">
        <v>608</v>
      </c>
      <c r="D204" s="66" t="s">
        <v>909</v>
      </c>
      <c r="E204" s="66">
        <v>2</v>
      </c>
      <c r="F204" s="66" t="s">
        <v>2</v>
      </c>
      <c r="G204" s="66">
        <v>1</v>
      </c>
      <c r="H204" s="66" t="s">
        <v>2</v>
      </c>
      <c r="J204" s="74" t="str">
        <f t="shared" si="0"/>
        <v>CM CF J Fixed Assets</v>
      </c>
      <c r="K204" s="75" t="str">
        <f t="shared" si="1"/>
        <v>CM CF J2 Vehicle</v>
      </c>
      <c r="L204" s="76" t="str">
        <f t="shared" si="2"/>
        <v>CM CF J2-1 Vehicle</v>
      </c>
      <c r="M204" s="61">
        <f t="shared" si="3"/>
        <v>0</v>
      </c>
      <c r="N204" s="63">
        <f t="shared" si="4"/>
        <v>0</v>
      </c>
      <c r="O204" s="46">
        <f t="shared" si="5"/>
        <v>0</v>
      </c>
    </row>
    <row r="205" spans="1:15">
      <c r="A205" s="49" t="s">
        <v>885</v>
      </c>
      <c r="B205" s="49" t="s">
        <v>886</v>
      </c>
      <c r="C205" s="66" t="s">
        <v>608</v>
      </c>
      <c r="D205" s="66" t="s">
        <v>909</v>
      </c>
      <c r="E205" s="66">
        <v>3</v>
      </c>
      <c r="F205" s="66" t="s">
        <v>0</v>
      </c>
      <c r="G205" s="66">
        <v>1</v>
      </c>
      <c r="H205" s="66" t="s">
        <v>0</v>
      </c>
      <c r="J205" s="74" t="str">
        <f t="shared" si="0"/>
        <v>CM CF J Fixed Assets</v>
      </c>
      <c r="K205" s="75" t="str">
        <f t="shared" si="1"/>
        <v>CM CF J3 Office Equipments</v>
      </c>
      <c r="L205" s="76" t="str">
        <f t="shared" si="2"/>
        <v>CM CF J3-1 Office Equipments</v>
      </c>
      <c r="M205" s="61">
        <f t="shared" si="3"/>
        <v>0</v>
      </c>
      <c r="N205" s="63">
        <f t="shared" si="4"/>
        <v>0</v>
      </c>
      <c r="O205" s="46">
        <f t="shared" si="5"/>
        <v>0</v>
      </c>
    </row>
    <row r="206" spans="1:15">
      <c r="A206" s="49" t="s">
        <v>885</v>
      </c>
      <c r="B206" s="49" t="s">
        <v>886</v>
      </c>
      <c r="C206" s="66" t="s">
        <v>565</v>
      </c>
      <c r="D206" s="66" t="s">
        <v>25</v>
      </c>
      <c r="E206" s="66">
        <v>1</v>
      </c>
      <c r="F206" s="66" t="s">
        <v>23</v>
      </c>
      <c r="G206" s="66">
        <v>1</v>
      </c>
      <c r="H206" s="66" t="s">
        <v>21</v>
      </c>
      <c r="J206" s="74" t="str">
        <f t="shared" si="0"/>
        <v>CM CF K Deposit</v>
      </c>
      <c r="K206" s="75" t="str">
        <f t="shared" si="1"/>
        <v>CM CF K1 Refundable Deposit- Landowner</v>
      </c>
      <c r="L206" s="76" t="str">
        <f t="shared" si="2"/>
        <v>CM CF K1-1 Landowner-1</v>
      </c>
      <c r="M206" s="61">
        <f t="shared" si="3"/>
        <v>0</v>
      </c>
      <c r="N206" s="63">
        <f t="shared" si="4"/>
        <v>0</v>
      </c>
      <c r="O206" s="46">
        <f t="shared" si="5"/>
        <v>0</v>
      </c>
    </row>
    <row r="207" spans="1:15">
      <c r="A207" s="49" t="s">
        <v>885</v>
      </c>
      <c r="B207" s="49" t="s">
        <v>886</v>
      </c>
      <c r="C207" s="66" t="s">
        <v>565</v>
      </c>
      <c r="D207" s="66" t="s">
        <v>25</v>
      </c>
      <c r="E207" s="66">
        <v>1</v>
      </c>
      <c r="F207" s="66" t="s">
        <v>23</v>
      </c>
      <c r="G207" s="66">
        <v>2</v>
      </c>
      <c r="H207" s="66" t="s">
        <v>19</v>
      </c>
      <c r="J207" s="74" t="str">
        <f t="shared" ref="J207:J271" si="13">IF($A207="No",0,IF(ISBLANK($D207)=FALSE,CONCATENATE(,$C$2," ",$J$2," ",$C207," ",$D207),0))</f>
        <v>CM CF K Deposit</v>
      </c>
      <c r="K207" s="75" t="str">
        <f t="shared" ref="K207:K271" si="14">IF($J207=0,0,IF(ISBLANK($F207)=FALSE,CONCATENATE(,$C$2," ",$J$2," ",$C207,$E207," ",$F207),0))</f>
        <v>CM CF K1 Refundable Deposit- Landowner</v>
      </c>
      <c r="L207" s="76" t="str">
        <f t="shared" ref="L207:L271" si="15">IF($K207=0,0,IF(ISBLANK($F207)=FALSE,CONCATENATE(,$C$2," ",$J$2," ",$C207,$E207,,"-",$G207,," ",$H207),0))</f>
        <v>CM CF K1-2 Landowner-2</v>
      </c>
      <c r="M207" s="61">
        <f t="shared" ref="M207:M271" si="16">IF($B207="No",0,IF(ISBLANK($D207)=FALSE,CONCATENATE(,$C$2," ",$M$2," ",$C207," ",$D207),0))</f>
        <v>0</v>
      </c>
      <c r="N207" s="63">
        <f t="shared" ref="N207:N271" si="17">IF(M207=0,0,IF(ISBLANK($F207)=FALSE,CONCATENATE(,$C$2," ",$M$2," ",$C207,$E207," ",$F207),0))</f>
        <v>0</v>
      </c>
      <c r="O207" s="46">
        <f t="shared" ref="O207:O271" si="18">IF(N207=0,0,IF(ISBLANK($F207)=FALSE,CONCATENATE(,$C$2," ",$M$2," ",$C207,$E207,,"-",$G207,," ",$H207),0))</f>
        <v>0</v>
      </c>
    </row>
    <row r="208" spans="1:15">
      <c r="A208" s="49" t="s">
        <v>885</v>
      </c>
      <c r="B208" s="49" t="s">
        <v>886</v>
      </c>
      <c r="C208" s="66" t="s">
        <v>565</v>
      </c>
      <c r="D208" s="66" t="s">
        <v>25</v>
      </c>
      <c r="E208" s="66">
        <v>1</v>
      </c>
      <c r="F208" s="66" t="s">
        <v>23</v>
      </c>
      <c r="G208" s="66">
        <v>3</v>
      </c>
      <c r="H208" s="66" t="s">
        <v>911</v>
      </c>
      <c r="J208" s="74" t="str">
        <f t="shared" si="13"/>
        <v>CM CF K Deposit</v>
      </c>
      <c r="K208" s="75" t="str">
        <f t="shared" si="14"/>
        <v>CM CF K1 Refundable Deposit- Landowner</v>
      </c>
      <c r="L208" s="76" t="str">
        <f t="shared" si="15"/>
        <v>CM CF K1-3 Landowner-3</v>
      </c>
      <c r="M208" s="61">
        <f t="shared" si="16"/>
        <v>0</v>
      </c>
      <c r="N208" s="63">
        <f t="shared" si="17"/>
        <v>0</v>
      </c>
      <c r="O208" s="46">
        <f t="shared" si="18"/>
        <v>0</v>
      </c>
    </row>
    <row r="209" spans="1:15">
      <c r="A209" s="49" t="s">
        <v>885</v>
      </c>
      <c r="B209" s="49" t="s">
        <v>886</v>
      </c>
      <c r="C209" s="66" t="s">
        <v>565</v>
      </c>
      <c r="D209" s="66" t="s">
        <v>25</v>
      </c>
      <c r="E209" s="66">
        <v>2</v>
      </c>
      <c r="F209" s="66" t="s">
        <v>17</v>
      </c>
      <c r="G209" s="66">
        <v>1</v>
      </c>
      <c r="H209" s="66" t="s">
        <v>15</v>
      </c>
      <c r="J209" s="74" t="str">
        <f t="shared" si="13"/>
        <v>CM CF K Deposit</v>
      </c>
      <c r="K209" s="75" t="str">
        <f t="shared" si="14"/>
        <v>CM CF K2 Rent Deposit</v>
      </c>
      <c r="L209" s="76" t="str">
        <f t="shared" si="15"/>
        <v>CM CF K2-1 Rent deposit-1</v>
      </c>
      <c r="M209" s="61">
        <f t="shared" si="16"/>
        <v>0</v>
      </c>
      <c r="N209" s="63">
        <f t="shared" si="17"/>
        <v>0</v>
      </c>
      <c r="O209" s="46">
        <f t="shared" si="18"/>
        <v>0</v>
      </c>
    </row>
    <row r="210" spans="1:15">
      <c r="A210" s="49" t="s">
        <v>885</v>
      </c>
      <c r="B210" s="49" t="s">
        <v>886</v>
      </c>
      <c r="C210" s="66" t="s">
        <v>565</v>
      </c>
      <c r="D210" s="66" t="s">
        <v>25</v>
      </c>
      <c r="E210" s="66">
        <v>2</v>
      </c>
      <c r="F210" s="66" t="s">
        <v>17</v>
      </c>
      <c r="G210" s="66">
        <v>2</v>
      </c>
      <c r="H210" s="66" t="s">
        <v>13</v>
      </c>
      <c r="J210" s="74" t="str">
        <f t="shared" si="13"/>
        <v>CM CF K Deposit</v>
      </c>
      <c r="K210" s="75" t="str">
        <f t="shared" si="14"/>
        <v>CM CF K2 Rent Deposit</v>
      </c>
      <c r="L210" s="76" t="str">
        <f t="shared" si="15"/>
        <v>CM CF K2-2 Rent deposit-2</v>
      </c>
      <c r="M210" s="61">
        <f t="shared" si="16"/>
        <v>0</v>
      </c>
      <c r="N210" s="63">
        <f t="shared" si="17"/>
        <v>0</v>
      </c>
      <c r="O210" s="46">
        <f t="shared" si="18"/>
        <v>0</v>
      </c>
    </row>
    <row r="211" spans="1:15">
      <c r="A211" s="49" t="s">
        <v>885</v>
      </c>
      <c r="B211" s="49" t="s">
        <v>886</v>
      </c>
      <c r="C211" s="66" t="s">
        <v>470</v>
      </c>
      <c r="D211" s="66" t="s">
        <v>826</v>
      </c>
      <c r="E211" s="66">
        <v>1</v>
      </c>
      <c r="F211" s="66" t="s">
        <v>825</v>
      </c>
      <c r="G211" s="66">
        <v>1</v>
      </c>
      <c r="H211" s="66" t="s">
        <v>823</v>
      </c>
      <c r="I211" s="55" t="s">
        <v>822</v>
      </c>
      <c r="J211" s="74" t="str">
        <f t="shared" si="13"/>
        <v>CM CF L Unsecured Loan</v>
      </c>
      <c r="K211" s="75" t="str">
        <f t="shared" si="14"/>
        <v>CM CF L1 Unsecured Loans Received</v>
      </c>
      <c r="L211" s="76" t="str">
        <f t="shared" si="15"/>
        <v>CM CF L1-1 Temporary Funding- Customer</v>
      </c>
      <c r="M211" s="61">
        <f t="shared" si="16"/>
        <v>0</v>
      </c>
      <c r="N211" s="63">
        <f t="shared" si="17"/>
        <v>0</v>
      </c>
      <c r="O211" s="46">
        <f t="shared" si="18"/>
        <v>0</v>
      </c>
    </row>
    <row r="212" spans="1:15">
      <c r="A212" s="49" t="s">
        <v>885</v>
      </c>
      <c r="B212" s="49" t="s">
        <v>886</v>
      </c>
      <c r="C212" s="66" t="s">
        <v>470</v>
      </c>
      <c r="D212" s="66" t="s">
        <v>826</v>
      </c>
      <c r="E212" s="66">
        <v>1</v>
      </c>
      <c r="F212" s="66" t="s">
        <v>825</v>
      </c>
      <c r="G212" s="66">
        <v>2</v>
      </c>
      <c r="H212" s="66" t="s">
        <v>820</v>
      </c>
      <c r="I212" s="55" t="s">
        <v>819</v>
      </c>
      <c r="J212" s="74" t="str">
        <f t="shared" si="13"/>
        <v>CM CF L Unsecured Loan</v>
      </c>
      <c r="K212" s="75" t="str">
        <f t="shared" si="14"/>
        <v>CM CF L1 Unsecured Loans Received</v>
      </c>
      <c r="L212" s="76" t="str">
        <f t="shared" si="15"/>
        <v>CM CF L1-2 Temporary Funding- TP</v>
      </c>
      <c r="M212" s="61">
        <f t="shared" si="16"/>
        <v>0</v>
      </c>
      <c r="N212" s="63">
        <f t="shared" si="17"/>
        <v>0</v>
      </c>
      <c r="O212" s="46">
        <f t="shared" si="18"/>
        <v>0</v>
      </c>
    </row>
    <row r="213" spans="1:15">
      <c r="A213" s="49" t="s">
        <v>885</v>
      </c>
      <c r="B213" s="49" t="s">
        <v>886</v>
      </c>
      <c r="C213" s="66" t="s">
        <v>470</v>
      </c>
      <c r="D213" s="66" t="s">
        <v>826</v>
      </c>
      <c r="E213" s="66">
        <v>1</v>
      </c>
      <c r="F213" s="66" t="s">
        <v>825</v>
      </c>
      <c r="G213" s="66">
        <v>3</v>
      </c>
      <c r="H213" s="66" t="s">
        <v>816</v>
      </c>
      <c r="I213" s="55" t="s">
        <v>815</v>
      </c>
      <c r="J213" s="74" t="str">
        <f t="shared" si="13"/>
        <v>CM CF L Unsecured Loan</v>
      </c>
      <c r="K213" s="75" t="str">
        <f t="shared" si="14"/>
        <v>CM CF L1 Unsecured Loans Received</v>
      </c>
      <c r="L213" s="76" t="str">
        <f t="shared" si="15"/>
        <v>CM CF L1-3 Temporary Funding- Related Party</v>
      </c>
      <c r="M213" s="61">
        <f t="shared" si="16"/>
        <v>0</v>
      </c>
      <c r="N213" s="63">
        <f t="shared" si="17"/>
        <v>0</v>
      </c>
      <c r="O213" s="46">
        <f t="shared" si="18"/>
        <v>0</v>
      </c>
    </row>
    <row r="214" spans="1:15">
      <c r="A214" s="49" t="s">
        <v>885</v>
      </c>
      <c r="B214" s="49" t="s">
        <v>886</v>
      </c>
      <c r="C214" s="66" t="s">
        <v>446</v>
      </c>
      <c r="D214" s="66" t="s">
        <v>813</v>
      </c>
      <c r="E214" s="66">
        <v>1</v>
      </c>
      <c r="F214" s="66" t="s">
        <v>811</v>
      </c>
      <c r="G214" s="66">
        <v>1</v>
      </c>
      <c r="H214" s="66" t="s">
        <v>809</v>
      </c>
      <c r="J214" s="74" t="str">
        <f t="shared" si="13"/>
        <v>CM CF M Investor Funding</v>
      </c>
      <c r="K214" s="75" t="str">
        <f t="shared" si="14"/>
        <v>CM CF M1 Equity Investor</v>
      </c>
      <c r="L214" s="76" t="str">
        <f t="shared" si="15"/>
        <v>CM CF M1-1 Equity Capital</v>
      </c>
      <c r="M214" s="61">
        <f t="shared" si="16"/>
        <v>0</v>
      </c>
      <c r="N214" s="63">
        <f t="shared" si="17"/>
        <v>0</v>
      </c>
      <c r="O214" s="46">
        <f t="shared" si="18"/>
        <v>0</v>
      </c>
    </row>
    <row r="215" spans="1:15">
      <c r="A215" s="49" t="s">
        <v>885</v>
      </c>
      <c r="B215" s="49" t="s">
        <v>886</v>
      </c>
      <c r="C215" s="66" t="s">
        <v>446</v>
      </c>
      <c r="D215" s="66" t="s">
        <v>813</v>
      </c>
      <c r="E215" s="66">
        <v>2</v>
      </c>
      <c r="F215" s="66" t="s">
        <v>806</v>
      </c>
      <c r="G215" s="66">
        <v>2</v>
      </c>
      <c r="H215" s="66" t="s">
        <v>804</v>
      </c>
      <c r="J215" s="74" t="str">
        <f t="shared" si="13"/>
        <v>CM CF M Investor Funding</v>
      </c>
      <c r="K215" s="75" t="str">
        <f t="shared" si="14"/>
        <v>CM CF M2 Debt Investor</v>
      </c>
      <c r="L215" s="76" t="str">
        <f t="shared" si="15"/>
        <v>CM CF M2-2 Investor Loan</v>
      </c>
      <c r="M215" s="61">
        <f t="shared" si="16"/>
        <v>0</v>
      </c>
      <c r="N215" s="63">
        <f t="shared" si="17"/>
        <v>0</v>
      </c>
      <c r="O215" s="46">
        <f t="shared" si="18"/>
        <v>0</v>
      </c>
    </row>
    <row r="216" spans="1:15">
      <c r="A216" s="49" t="s">
        <v>885</v>
      </c>
      <c r="B216" s="49" t="s">
        <v>886</v>
      </c>
      <c r="C216" s="66" t="s">
        <v>370</v>
      </c>
      <c r="D216" s="66" t="s">
        <v>801</v>
      </c>
      <c r="E216" s="66">
        <v>1</v>
      </c>
      <c r="F216" s="66" t="s">
        <v>799</v>
      </c>
      <c r="G216" s="66">
        <v>1</v>
      </c>
      <c r="H216" s="66" t="s">
        <v>793</v>
      </c>
      <c r="J216" s="74" t="str">
        <f t="shared" si="13"/>
        <v>CM CF N Financial Institution Funding</v>
      </c>
      <c r="K216" s="75" t="str">
        <f t="shared" si="14"/>
        <v>CM CF N1 Project Loan</v>
      </c>
      <c r="L216" s="76" t="str">
        <f t="shared" si="15"/>
        <v>CM CF N1-1 Financial Institution Draw</v>
      </c>
      <c r="M216" s="61">
        <f t="shared" si="16"/>
        <v>0</v>
      </c>
      <c r="N216" s="63">
        <f t="shared" si="17"/>
        <v>0</v>
      </c>
      <c r="O216" s="46">
        <f t="shared" si="18"/>
        <v>0</v>
      </c>
    </row>
    <row r="217" spans="1:15">
      <c r="A217" s="49" t="s">
        <v>885</v>
      </c>
      <c r="B217" s="49" t="s">
        <v>886</v>
      </c>
      <c r="C217" s="66" t="s">
        <v>370</v>
      </c>
      <c r="D217" s="66" t="s">
        <v>801</v>
      </c>
      <c r="E217" s="66">
        <v>2</v>
      </c>
      <c r="F217" s="66" t="s">
        <v>795</v>
      </c>
      <c r="G217" s="66">
        <v>2</v>
      </c>
      <c r="H217" s="66" t="s">
        <v>793</v>
      </c>
      <c r="J217" s="74" t="str">
        <f t="shared" si="13"/>
        <v>CM CF N Financial Institution Funding</v>
      </c>
      <c r="K217" s="75" t="str">
        <f t="shared" si="14"/>
        <v>CM CF N2 Construction Loan</v>
      </c>
      <c r="L217" s="76" t="str">
        <f t="shared" si="15"/>
        <v>CM CF N2-2 Financial Institution Draw</v>
      </c>
      <c r="M217" s="61">
        <f t="shared" si="16"/>
        <v>0</v>
      </c>
      <c r="N217" s="63">
        <f t="shared" si="17"/>
        <v>0</v>
      </c>
      <c r="O217" s="46">
        <f t="shared" si="18"/>
        <v>0</v>
      </c>
    </row>
    <row r="218" spans="1:15">
      <c r="A218" s="49" t="s">
        <v>885</v>
      </c>
      <c r="B218" s="49" t="s">
        <v>886</v>
      </c>
      <c r="C218" s="66" t="s">
        <v>311</v>
      </c>
      <c r="D218" s="66" t="s">
        <v>790</v>
      </c>
      <c r="E218" s="66">
        <v>1</v>
      </c>
      <c r="F218" s="66" t="s">
        <v>788</v>
      </c>
      <c r="G218" s="66">
        <v>1</v>
      </c>
      <c r="H218" s="66" t="s">
        <v>786</v>
      </c>
      <c r="J218" s="74" t="str">
        <f t="shared" si="13"/>
        <v>CM CF O Promoter Funding</v>
      </c>
      <c r="K218" s="75" t="str">
        <f t="shared" si="14"/>
        <v>CM CF O1 Promoter Equity</v>
      </c>
      <c r="L218" s="76" t="str">
        <f t="shared" si="15"/>
        <v>CM CF O1-1 Promoter Capital</v>
      </c>
      <c r="M218" s="61">
        <f t="shared" si="16"/>
        <v>0</v>
      </c>
      <c r="N218" s="63">
        <f t="shared" si="17"/>
        <v>0</v>
      </c>
      <c r="O218" s="46">
        <f t="shared" si="18"/>
        <v>0</v>
      </c>
    </row>
    <row r="219" spans="1:15">
      <c r="A219" s="49" t="s">
        <v>885</v>
      </c>
      <c r="B219" s="49" t="s">
        <v>886</v>
      </c>
      <c r="C219" s="66" t="s">
        <v>311</v>
      </c>
      <c r="D219" s="66" t="s">
        <v>790</v>
      </c>
      <c r="E219" s="66">
        <v>2</v>
      </c>
      <c r="F219" s="66" t="s">
        <v>783</v>
      </c>
      <c r="G219" s="66">
        <v>2</v>
      </c>
      <c r="H219" s="66" t="s">
        <v>781</v>
      </c>
      <c r="J219" s="74" t="str">
        <f t="shared" si="13"/>
        <v>CM CF O Promoter Funding</v>
      </c>
      <c r="K219" s="75" t="str">
        <f t="shared" si="14"/>
        <v>CM CF O2 Director Loan</v>
      </c>
      <c r="L219" s="76" t="str">
        <f t="shared" si="15"/>
        <v>CM CF O2-2 Director Unsecured Loan</v>
      </c>
      <c r="M219" s="61">
        <f t="shared" si="16"/>
        <v>0</v>
      </c>
      <c r="N219" s="63">
        <f t="shared" si="17"/>
        <v>0</v>
      </c>
      <c r="O219" s="46">
        <f t="shared" si="18"/>
        <v>0</v>
      </c>
    </row>
    <row r="220" spans="1:15">
      <c r="J220" s="74"/>
      <c r="K220" s="75"/>
      <c r="L220" s="76"/>
      <c r="M220" s="61"/>
      <c r="N220" s="63"/>
      <c r="O220" s="46"/>
    </row>
    <row r="221" spans="1:15">
      <c r="A221" s="49" t="s">
        <v>885</v>
      </c>
      <c r="B221" s="49" t="s">
        <v>885</v>
      </c>
      <c r="C221" s="66" t="s">
        <v>175</v>
      </c>
      <c r="D221" s="66" t="s">
        <v>778</v>
      </c>
      <c r="E221" s="66">
        <v>1</v>
      </c>
      <c r="F221" s="66" t="s">
        <v>776</v>
      </c>
      <c r="G221" s="66">
        <v>1</v>
      </c>
      <c r="H221" s="66" t="s">
        <v>774</v>
      </c>
      <c r="J221" s="74" t="str">
        <f t="shared" si="13"/>
        <v>CM CF P Other Income</v>
      </c>
      <c r="K221" s="75" t="str">
        <f t="shared" si="14"/>
        <v>CM CF P1 Interest Income</v>
      </c>
      <c r="L221" s="76" t="str">
        <f t="shared" si="15"/>
        <v>CM CF P1-1 Bank Interest</v>
      </c>
      <c r="M221" s="70" t="str">
        <f t="shared" si="16"/>
        <v>CM PL P Other Income</v>
      </c>
      <c r="N221" s="71" t="str">
        <f t="shared" si="17"/>
        <v>CM PL P1 Interest Income</v>
      </c>
      <c r="O221" s="72" t="str">
        <f t="shared" si="18"/>
        <v>CM PL P1-1 Bank Interest</v>
      </c>
    </row>
    <row r="222" spans="1:15">
      <c r="A222" s="49" t="s">
        <v>885</v>
      </c>
      <c r="B222" s="49" t="s">
        <v>885</v>
      </c>
      <c r="C222" s="66" t="s">
        <v>175</v>
      </c>
      <c r="D222" s="66" t="s">
        <v>778</v>
      </c>
      <c r="E222" s="66">
        <v>2</v>
      </c>
      <c r="F222" s="66" t="s">
        <v>771</v>
      </c>
      <c r="G222" s="66">
        <v>2</v>
      </c>
      <c r="H222" s="66" t="s">
        <v>769</v>
      </c>
      <c r="J222" s="74" t="str">
        <f t="shared" si="13"/>
        <v>CM CF P Other Income</v>
      </c>
      <c r="K222" s="75" t="str">
        <f t="shared" si="14"/>
        <v>CM CF P2 Misc Income</v>
      </c>
      <c r="L222" s="76" t="str">
        <f t="shared" si="15"/>
        <v>CM CF P2-2 Other Misc Income</v>
      </c>
      <c r="M222" s="70" t="str">
        <f t="shared" si="16"/>
        <v>CM PL P Other Income</v>
      </c>
      <c r="N222" s="71" t="str">
        <f t="shared" si="17"/>
        <v>CM PL P2 Misc Income</v>
      </c>
      <c r="O222" s="72" t="str">
        <f t="shared" si="18"/>
        <v>CM PL P2-2 Other Misc Income</v>
      </c>
    </row>
    <row r="223" spans="1:15">
      <c r="A223" s="49" t="s">
        <v>885</v>
      </c>
      <c r="B223" s="49" t="s">
        <v>885</v>
      </c>
      <c r="C223" s="66" t="s">
        <v>46</v>
      </c>
      <c r="D223" s="66" t="s">
        <v>926</v>
      </c>
      <c r="E223" s="66">
        <v>1</v>
      </c>
      <c r="F223" s="66" t="s">
        <v>926</v>
      </c>
      <c r="G223" s="66">
        <v>1</v>
      </c>
      <c r="H223" s="66" t="s">
        <v>926</v>
      </c>
      <c r="J223" s="57" t="str">
        <f t="shared" si="13"/>
        <v>CM CF T Suspense</v>
      </c>
      <c r="K223" s="59" t="str">
        <f t="shared" si="14"/>
        <v>CM CF T1 Suspense</v>
      </c>
      <c r="L223" s="45" t="str">
        <f t="shared" si="15"/>
        <v>CM CF T1-1 Suspense</v>
      </c>
      <c r="M223" s="61" t="str">
        <f t="shared" si="16"/>
        <v>CM PL T Suspense</v>
      </c>
      <c r="N223" s="63" t="str">
        <f t="shared" si="17"/>
        <v>CM PL T1 Suspense</v>
      </c>
      <c r="O223" s="46" t="str">
        <f t="shared" si="18"/>
        <v>CM PL T1-1 Suspense</v>
      </c>
    </row>
    <row r="224" spans="1:15">
      <c r="J224" s="57">
        <f t="shared" si="13"/>
        <v>0</v>
      </c>
      <c r="K224" s="59">
        <f t="shared" si="14"/>
        <v>0</v>
      </c>
      <c r="L224" s="45">
        <f t="shared" si="15"/>
        <v>0</v>
      </c>
      <c r="M224" s="61">
        <f t="shared" si="16"/>
        <v>0</v>
      </c>
      <c r="N224" s="63">
        <f t="shared" si="17"/>
        <v>0</v>
      </c>
      <c r="O224" s="46">
        <f t="shared" si="18"/>
        <v>0</v>
      </c>
    </row>
    <row r="225" spans="1:15">
      <c r="J225" s="57">
        <f t="shared" si="13"/>
        <v>0</v>
      </c>
      <c r="K225" s="59">
        <f t="shared" si="14"/>
        <v>0</v>
      </c>
      <c r="L225" s="45">
        <f t="shared" si="15"/>
        <v>0</v>
      </c>
      <c r="M225" s="61">
        <f t="shared" si="16"/>
        <v>0</v>
      </c>
      <c r="N225" s="63">
        <f t="shared" si="17"/>
        <v>0</v>
      </c>
      <c r="O225" s="46">
        <f t="shared" si="18"/>
        <v>0</v>
      </c>
    </row>
    <row r="226" spans="1:15">
      <c r="A226" s="49" t="s">
        <v>885</v>
      </c>
      <c r="B226" s="49" t="s">
        <v>885</v>
      </c>
      <c r="C226" s="87" t="s">
        <v>119</v>
      </c>
      <c r="D226" s="87" t="s">
        <v>174</v>
      </c>
      <c r="E226" s="87">
        <v>1</v>
      </c>
      <c r="F226" s="87" t="s">
        <v>172</v>
      </c>
      <c r="G226" s="87">
        <v>1</v>
      </c>
      <c r="H226" s="87" t="s">
        <v>170</v>
      </c>
      <c r="I226" s="88"/>
      <c r="J226" s="89" t="str">
        <f t="shared" si="13"/>
        <v>CM CF Q Regulatory &amp; Consulting</v>
      </c>
      <c r="K226" s="90" t="str">
        <f t="shared" si="14"/>
        <v>CM CF Q1 Consultants</v>
      </c>
      <c r="L226" s="91" t="str">
        <f t="shared" si="15"/>
        <v>CM CF Q1-1 Architect</v>
      </c>
      <c r="M226" s="92" t="str">
        <f t="shared" si="16"/>
        <v>CM PL Q Regulatory &amp; Consulting</v>
      </c>
      <c r="N226" s="93" t="str">
        <f t="shared" si="17"/>
        <v>CM PL Q1 Consultants</v>
      </c>
      <c r="O226" s="94" t="str">
        <f t="shared" si="18"/>
        <v>CM PL Q1-1 Architect</v>
      </c>
    </row>
    <row r="227" spans="1:15">
      <c r="A227" s="49" t="s">
        <v>885</v>
      </c>
      <c r="B227" s="49" t="s">
        <v>885</v>
      </c>
      <c r="C227" s="87" t="s">
        <v>119</v>
      </c>
      <c r="D227" s="87" t="s">
        <v>174</v>
      </c>
      <c r="E227" s="87">
        <v>1</v>
      </c>
      <c r="F227" s="87" t="s">
        <v>172</v>
      </c>
      <c r="G227" s="87">
        <f>+G226+1</f>
        <v>2</v>
      </c>
      <c r="H227" s="87" t="s">
        <v>168</v>
      </c>
      <c r="I227" s="88"/>
      <c r="J227" s="89" t="str">
        <f t="shared" si="13"/>
        <v>CM CF Q Regulatory &amp; Consulting</v>
      </c>
      <c r="K227" s="90" t="str">
        <f t="shared" si="14"/>
        <v>CM CF Q1 Consultants</v>
      </c>
      <c r="L227" s="91" t="str">
        <f t="shared" si="15"/>
        <v>CM CF Q1-2 MEP Consultant</v>
      </c>
      <c r="M227" s="92" t="str">
        <f t="shared" si="16"/>
        <v>CM PL Q Regulatory &amp; Consulting</v>
      </c>
      <c r="N227" s="93" t="str">
        <f t="shared" si="17"/>
        <v>CM PL Q1 Consultants</v>
      </c>
      <c r="O227" s="94" t="str">
        <f t="shared" si="18"/>
        <v>CM PL Q1-2 MEP Consultant</v>
      </c>
    </row>
    <row r="228" spans="1:15">
      <c r="A228" s="49" t="s">
        <v>885</v>
      </c>
      <c r="B228" s="49" t="s">
        <v>885</v>
      </c>
      <c r="C228" s="87" t="s">
        <v>119</v>
      </c>
      <c r="D228" s="87" t="s">
        <v>174</v>
      </c>
      <c r="E228" s="87">
        <v>1</v>
      </c>
      <c r="F228" s="87" t="s">
        <v>172</v>
      </c>
      <c r="G228" s="87">
        <f t="shared" ref="G228:G237" si="19">+G227+1</f>
        <v>3</v>
      </c>
      <c r="H228" s="87" t="s">
        <v>166</v>
      </c>
      <c r="I228" s="88"/>
      <c r="J228" s="89" t="str">
        <f t="shared" si="13"/>
        <v>CM CF Q Regulatory &amp; Consulting</v>
      </c>
      <c r="K228" s="90" t="str">
        <f t="shared" si="14"/>
        <v>CM CF Q1 Consultants</v>
      </c>
      <c r="L228" s="91" t="str">
        <f t="shared" si="15"/>
        <v>CM CF Q1-3 MIDC Consustant</v>
      </c>
      <c r="M228" s="92" t="str">
        <f t="shared" si="16"/>
        <v>CM PL Q Regulatory &amp; Consulting</v>
      </c>
      <c r="N228" s="93" t="str">
        <f t="shared" si="17"/>
        <v>CM PL Q1 Consultants</v>
      </c>
      <c r="O228" s="94" t="str">
        <f t="shared" si="18"/>
        <v>CM PL Q1-3 MIDC Consustant</v>
      </c>
    </row>
    <row r="229" spans="1:15">
      <c r="A229" s="49" t="s">
        <v>885</v>
      </c>
      <c r="B229" s="49" t="s">
        <v>885</v>
      </c>
      <c r="C229" s="87" t="s">
        <v>119</v>
      </c>
      <c r="D229" s="87" t="s">
        <v>174</v>
      </c>
      <c r="E229" s="87">
        <v>1</v>
      </c>
      <c r="F229" s="87" t="s">
        <v>172</v>
      </c>
      <c r="G229" s="87">
        <f t="shared" si="19"/>
        <v>4</v>
      </c>
      <c r="H229" s="87" t="s">
        <v>164</v>
      </c>
      <c r="I229" s="88"/>
      <c r="J229" s="89" t="str">
        <f t="shared" si="13"/>
        <v>CM CF Q Regulatory &amp; Consulting</v>
      </c>
      <c r="K229" s="90" t="str">
        <f t="shared" si="14"/>
        <v>CM CF Q1 Consultants</v>
      </c>
      <c r="L229" s="91" t="str">
        <f t="shared" si="15"/>
        <v>CM CF Q1-4 RCC Consultant</v>
      </c>
      <c r="M229" s="92" t="str">
        <f t="shared" si="16"/>
        <v>CM PL Q Regulatory &amp; Consulting</v>
      </c>
      <c r="N229" s="93" t="str">
        <f t="shared" si="17"/>
        <v>CM PL Q1 Consultants</v>
      </c>
      <c r="O229" s="94" t="str">
        <f t="shared" si="18"/>
        <v>CM PL Q1-4 RCC Consultant</v>
      </c>
    </row>
    <row r="230" spans="1:15">
      <c r="A230" s="49" t="s">
        <v>885</v>
      </c>
      <c r="B230" s="49" t="s">
        <v>885</v>
      </c>
      <c r="C230" s="87" t="s">
        <v>119</v>
      </c>
      <c r="D230" s="87" t="s">
        <v>174</v>
      </c>
      <c r="E230" s="87">
        <v>1</v>
      </c>
      <c r="F230" s="87" t="s">
        <v>172</v>
      </c>
      <c r="G230" s="87">
        <f t="shared" si="19"/>
        <v>5</v>
      </c>
      <c r="H230" s="87" t="s">
        <v>162</v>
      </c>
      <c r="I230" s="88"/>
      <c r="J230" s="89" t="str">
        <f t="shared" si="13"/>
        <v>CM CF Q Regulatory &amp; Consulting</v>
      </c>
      <c r="K230" s="90" t="str">
        <f t="shared" si="14"/>
        <v>CM CF Q1 Consultants</v>
      </c>
      <c r="L230" s="91" t="str">
        <f t="shared" si="15"/>
        <v>CM CF Q1-5 EC Consultant</v>
      </c>
      <c r="M230" s="92" t="str">
        <f t="shared" si="16"/>
        <v>CM PL Q Regulatory &amp; Consulting</v>
      </c>
      <c r="N230" s="93" t="str">
        <f t="shared" si="17"/>
        <v>CM PL Q1 Consultants</v>
      </c>
      <c r="O230" s="94" t="str">
        <f t="shared" si="18"/>
        <v>CM PL Q1-5 EC Consultant</v>
      </c>
    </row>
    <row r="231" spans="1:15">
      <c r="A231" s="49" t="s">
        <v>885</v>
      </c>
      <c r="B231" s="49" t="s">
        <v>885</v>
      </c>
      <c r="C231" s="87" t="s">
        <v>119</v>
      </c>
      <c r="D231" s="87" t="s">
        <v>174</v>
      </c>
      <c r="E231" s="87">
        <v>1</v>
      </c>
      <c r="F231" s="87" t="s">
        <v>172</v>
      </c>
      <c r="G231" s="87">
        <f t="shared" si="19"/>
        <v>6</v>
      </c>
      <c r="H231" s="87" t="s">
        <v>160</v>
      </c>
      <c r="I231" s="88"/>
      <c r="J231" s="89" t="str">
        <f t="shared" si="13"/>
        <v>CM CF Q Regulatory &amp; Consulting</v>
      </c>
      <c r="K231" s="90" t="str">
        <f t="shared" si="14"/>
        <v>CM CF Q1 Consultants</v>
      </c>
      <c r="L231" s="91" t="str">
        <f t="shared" si="15"/>
        <v>CM CF Q1-6 Land Broker</v>
      </c>
      <c r="M231" s="92" t="str">
        <f t="shared" si="16"/>
        <v>CM PL Q Regulatory &amp; Consulting</v>
      </c>
      <c r="N231" s="93" t="str">
        <f t="shared" si="17"/>
        <v>CM PL Q1 Consultants</v>
      </c>
      <c r="O231" s="94" t="str">
        <f t="shared" si="18"/>
        <v>CM PL Q1-6 Land Broker</v>
      </c>
    </row>
    <row r="232" spans="1:15">
      <c r="A232" s="49" t="s">
        <v>885</v>
      </c>
      <c r="B232" s="49" t="s">
        <v>885</v>
      </c>
      <c r="C232" s="87" t="s">
        <v>119</v>
      </c>
      <c r="D232" s="87" t="s">
        <v>174</v>
      </c>
      <c r="E232" s="87">
        <v>1</v>
      </c>
      <c r="F232" s="87" t="s">
        <v>172</v>
      </c>
      <c r="G232" s="87">
        <f t="shared" si="19"/>
        <v>7</v>
      </c>
      <c r="H232" s="87" t="s">
        <v>158</v>
      </c>
      <c r="I232" s="88"/>
      <c r="J232" s="89" t="str">
        <f t="shared" si="13"/>
        <v>CM CF Q Regulatory &amp; Consulting</v>
      </c>
      <c r="K232" s="90" t="str">
        <f t="shared" si="14"/>
        <v>CM CF Q1 Consultants</v>
      </c>
      <c r="L232" s="91" t="str">
        <f t="shared" si="15"/>
        <v>CM CF Q1-7 Landscape Consultant</v>
      </c>
      <c r="M232" s="92" t="str">
        <f t="shared" si="16"/>
        <v>CM PL Q Regulatory &amp; Consulting</v>
      </c>
      <c r="N232" s="93" t="str">
        <f t="shared" si="17"/>
        <v>CM PL Q1 Consultants</v>
      </c>
      <c r="O232" s="94" t="str">
        <f t="shared" si="18"/>
        <v>CM PL Q1-7 Landscape Consultant</v>
      </c>
    </row>
    <row r="233" spans="1:15">
      <c r="A233" s="49" t="s">
        <v>885</v>
      </c>
      <c r="B233" s="49" t="s">
        <v>886</v>
      </c>
      <c r="C233" s="87" t="s">
        <v>119</v>
      </c>
      <c r="D233" s="87" t="s">
        <v>174</v>
      </c>
      <c r="E233" s="87">
        <v>1</v>
      </c>
      <c r="F233" s="87" t="s">
        <v>172</v>
      </c>
      <c r="G233" s="87">
        <f t="shared" si="19"/>
        <v>8</v>
      </c>
      <c r="H233" s="87" t="s">
        <v>156</v>
      </c>
      <c r="I233" s="88"/>
      <c r="J233" s="89" t="str">
        <f t="shared" si="13"/>
        <v>CM CF Q Regulatory &amp; Consulting</v>
      </c>
      <c r="K233" s="90" t="str">
        <f t="shared" si="14"/>
        <v>CM CF Q1 Consultants</v>
      </c>
      <c r="L233" s="91" t="str">
        <f t="shared" si="15"/>
        <v>CM CF Q1-8 Structural Consultant</v>
      </c>
      <c r="M233" s="92">
        <f t="shared" si="16"/>
        <v>0</v>
      </c>
      <c r="N233" s="93">
        <f t="shared" si="17"/>
        <v>0</v>
      </c>
      <c r="O233" s="94">
        <f t="shared" si="18"/>
        <v>0</v>
      </c>
    </row>
    <row r="234" spans="1:15">
      <c r="A234" s="49" t="s">
        <v>885</v>
      </c>
      <c r="B234" s="49" t="s">
        <v>886</v>
      </c>
      <c r="C234" s="87" t="s">
        <v>119</v>
      </c>
      <c r="D234" s="87" t="s">
        <v>174</v>
      </c>
      <c r="E234" s="87">
        <v>1</v>
      </c>
      <c r="F234" s="87" t="s">
        <v>172</v>
      </c>
      <c r="G234" s="87">
        <f t="shared" si="19"/>
        <v>9</v>
      </c>
      <c r="H234" s="87" t="s">
        <v>154</v>
      </c>
      <c r="I234" s="88"/>
      <c r="J234" s="89" t="str">
        <f t="shared" si="13"/>
        <v>CM CF Q Regulatory &amp; Consulting</v>
      </c>
      <c r="K234" s="90" t="str">
        <f t="shared" si="14"/>
        <v>CM CF Q1 Consultants</v>
      </c>
      <c r="L234" s="91" t="str">
        <f t="shared" si="15"/>
        <v>CM CF Q1-9 Legal Consultant</v>
      </c>
      <c r="M234" s="92">
        <f t="shared" si="16"/>
        <v>0</v>
      </c>
      <c r="N234" s="93">
        <f t="shared" si="17"/>
        <v>0</v>
      </c>
      <c r="O234" s="94">
        <f t="shared" si="18"/>
        <v>0</v>
      </c>
    </row>
    <row r="235" spans="1:15">
      <c r="A235" s="49" t="s">
        <v>885</v>
      </c>
      <c r="B235" s="49" t="s">
        <v>886</v>
      </c>
      <c r="C235" s="87" t="s">
        <v>119</v>
      </c>
      <c r="D235" s="87" t="s">
        <v>174</v>
      </c>
      <c r="E235" s="87">
        <v>1</v>
      </c>
      <c r="F235" s="87" t="s">
        <v>172</v>
      </c>
      <c r="G235" s="87">
        <f t="shared" si="19"/>
        <v>10</v>
      </c>
      <c r="H235" s="87" t="s">
        <v>152</v>
      </c>
      <c r="I235" s="88"/>
      <c r="J235" s="89" t="str">
        <f t="shared" si="13"/>
        <v>CM CF Q Regulatory &amp; Consulting</v>
      </c>
      <c r="K235" s="90" t="str">
        <f t="shared" si="14"/>
        <v>CM CF Q1 Consultants</v>
      </c>
      <c r="L235" s="91" t="str">
        <f t="shared" si="15"/>
        <v>CM CF Q1-10 Survayer</v>
      </c>
      <c r="M235" s="92">
        <f t="shared" si="16"/>
        <v>0</v>
      </c>
      <c r="N235" s="93">
        <f t="shared" si="17"/>
        <v>0</v>
      </c>
      <c r="O235" s="94">
        <f t="shared" si="18"/>
        <v>0</v>
      </c>
    </row>
    <row r="236" spans="1:15">
      <c r="A236" s="49" t="s">
        <v>885</v>
      </c>
      <c r="B236" s="49" t="s">
        <v>885</v>
      </c>
      <c r="C236" s="87" t="s">
        <v>119</v>
      </c>
      <c r="D236" s="87" t="s">
        <v>174</v>
      </c>
      <c r="E236" s="87">
        <v>1</v>
      </c>
      <c r="F236" s="87" t="s">
        <v>172</v>
      </c>
      <c r="G236" s="87">
        <f t="shared" si="19"/>
        <v>11</v>
      </c>
      <c r="H236" s="87" t="s">
        <v>916</v>
      </c>
      <c r="I236" s="88"/>
      <c r="J236" s="89" t="str">
        <f t="shared" si="13"/>
        <v>CM CF Q Regulatory &amp; Consulting</v>
      </c>
      <c r="K236" s="90" t="str">
        <f t="shared" si="14"/>
        <v>CM CF Q1 Consultants</v>
      </c>
      <c r="L236" s="91" t="str">
        <f t="shared" si="15"/>
        <v>CM CF Q1-11 Professiona Fees -CA</v>
      </c>
      <c r="M236" s="92" t="str">
        <f t="shared" si="16"/>
        <v>CM PL Q Regulatory &amp; Consulting</v>
      </c>
      <c r="N236" s="93" t="str">
        <f t="shared" ref="N236" si="20">IF(M236=0,0,IF(ISBLANK($F236)=FALSE,CONCATENATE(,$C$2," ",$M$2," ",$C236,$E236," ",$F236),0))</f>
        <v>CM PL Q1 Consultants</v>
      </c>
      <c r="O236" s="94" t="str">
        <f t="shared" ref="O236" si="21">IF(N236=0,0,IF(ISBLANK($F236)=FALSE,CONCATENATE(,$C$2," ",$M$2," ",$C236,$E236,,"-",$G236,," ",$H236),0))</f>
        <v>CM PL Q1-11 Professiona Fees -CA</v>
      </c>
    </row>
    <row r="237" spans="1:15">
      <c r="A237" s="49" t="s">
        <v>885</v>
      </c>
      <c r="B237" s="49" t="s">
        <v>886</v>
      </c>
      <c r="C237" s="87" t="s">
        <v>119</v>
      </c>
      <c r="D237" s="87" t="s">
        <v>174</v>
      </c>
      <c r="E237" s="87">
        <v>1</v>
      </c>
      <c r="F237" s="87" t="s">
        <v>172</v>
      </c>
      <c r="G237" s="87">
        <f t="shared" si="19"/>
        <v>12</v>
      </c>
      <c r="H237" s="87" t="s">
        <v>927</v>
      </c>
      <c r="J237" s="57" t="str">
        <f t="shared" si="13"/>
        <v>CM CF Q Regulatory &amp; Consulting</v>
      </c>
      <c r="K237" s="59" t="str">
        <f t="shared" si="14"/>
        <v>CM CF Q1 Consultants</v>
      </c>
      <c r="L237" s="45" t="str">
        <f t="shared" si="15"/>
        <v>CM CF Q1-12 BOQ Consultant</v>
      </c>
      <c r="M237" s="61">
        <f t="shared" si="16"/>
        <v>0</v>
      </c>
      <c r="N237" s="63">
        <f t="shared" si="17"/>
        <v>0</v>
      </c>
      <c r="O237" s="46">
        <f t="shared" si="18"/>
        <v>0</v>
      </c>
    </row>
    <row r="238" spans="1:15" s="101" customFormat="1">
      <c r="A238" s="95" t="s">
        <v>885</v>
      </c>
      <c r="B238" s="49" t="s">
        <v>886</v>
      </c>
      <c r="C238" s="87" t="s">
        <v>8</v>
      </c>
      <c r="D238" s="102" t="s">
        <v>920</v>
      </c>
      <c r="E238" s="87">
        <v>1</v>
      </c>
      <c r="F238" s="87" t="s">
        <v>921</v>
      </c>
      <c r="G238" s="87">
        <v>1</v>
      </c>
      <c r="H238" s="96" t="s">
        <v>919</v>
      </c>
      <c r="I238" s="88"/>
      <c r="J238" s="89" t="str">
        <f t="shared" si="13"/>
        <v>CM CF R Other Current Liabiliites</v>
      </c>
      <c r="K238" s="90" t="str">
        <f t="shared" si="14"/>
        <v xml:space="preserve">CM CF R1 Credit card </v>
      </c>
      <c r="L238" s="91" t="str">
        <f t="shared" si="15"/>
        <v>CM CF R1-1 Gaurav Sir Credit Card Expenses</v>
      </c>
      <c r="M238" s="92">
        <f t="shared" si="16"/>
        <v>0</v>
      </c>
      <c r="N238" s="93">
        <f t="shared" si="17"/>
        <v>0</v>
      </c>
      <c r="O238" s="94">
        <f t="shared" si="18"/>
        <v>0</v>
      </c>
    </row>
    <row r="239" spans="1:15" s="101" customFormat="1">
      <c r="A239" s="95" t="s">
        <v>885</v>
      </c>
      <c r="B239" s="49" t="s">
        <v>886</v>
      </c>
      <c r="C239" s="87" t="s">
        <v>8</v>
      </c>
      <c r="D239" s="102" t="s">
        <v>920</v>
      </c>
      <c r="E239" s="87">
        <v>2</v>
      </c>
      <c r="F239" s="87" t="s">
        <v>926</v>
      </c>
      <c r="G239" s="87">
        <v>1</v>
      </c>
      <c r="H239" s="87" t="s">
        <v>926</v>
      </c>
      <c r="I239" s="88"/>
      <c r="J239" s="89" t="str">
        <f t="shared" si="13"/>
        <v>CM CF R Other Current Liabiliites</v>
      </c>
      <c r="K239" s="90" t="str">
        <f t="shared" si="14"/>
        <v>CM CF R2 Suspense</v>
      </c>
      <c r="L239" s="91" t="str">
        <f t="shared" si="15"/>
        <v>CM CF R2-1 Suspense</v>
      </c>
      <c r="M239" s="92">
        <f t="shared" si="16"/>
        <v>0</v>
      </c>
      <c r="N239" s="93">
        <f t="shared" si="17"/>
        <v>0</v>
      </c>
      <c r="O239" s="94">
        <f t="shared" si="18"/>
        <v>0</v>
      </c>
    </row>
    <row r="240" spans="1:15" s="101" customFormat="1">
      <c r="A240" s="95" t="s">
        <v>885</v>
      </c>
      <c r="B240" s="49" t="s">
        <v>886</v>
      </c>
      <c r="C240" s="87" t="s">
        <v>8</v>
      </c>
      <c r="D240" s="102" t="s">
        <v>920</v>
      </c>
      <c r="E240" s="87">
        <v>3</v>
      </c>
      <c r="F240" s="87" t="s">
        <v>103</v>
      </c>
      <c r="G240" s="87">
        <v>1</v>
      </c>
      <c r="H240" s="87" t="s">
        <v>96</v>
      </c>
      <c r="I240" s="88"/>
      <c r="J240" s="89" t="str">
        <f t="shared" si="13"/>
        <v>CM CF R Other Current Liabiliites</v>
      </c>
      <c r="K240" s="90" t="str">
        <f t="shared" si="14"/>
        <v>CM CF R3 Retention</v>
      </c>
      <c r="L240" s="91" t="str">
        <f t="shared" si="15"/>
        <v>CM CF R3-1 Salary Retention</v>
      </c>
      <c r="M240" s="92">
        <f t="shared" si="16"/>
        <v>0</v>
      </c>
      <c r="N240" s="93">
        <f t="shared" si="17"/>
        <v>0</v>
      </c>
      <c r="O240" s="94">
        <f t="shared" si="18"/>
        <v>0</v>
      </c>
    </row>
    <row r="241" spans="1:15">
      <c r="A241" s="49" t="s">
        <v>885</v>
      </c>
      <c r="B241" s="49" t="s">
        <v>886</v>
      </c>
      <c r="C241" s="87" t="s">
        <v>8</v>
      </c>
      <c r="D241" s="102" t="s">
        <v>920</v>
      </c>
      <c r="E241" s="87">
        <v>3</v>
      </c>
      <c r="F241" s="87" t="s">
        <v>103</v>
      </c>
      <c r="G241" s="87">
        <v>2</v>
      </c>
      <c r="H241" s="87" t="s">
        <v>937</v>
      </c>
      <c r="I241" s="88"/>
      <c r="J241" s="89" t="str">
        <f t="shared" si="13"/>
        <v>CM CF R Other Current Liabiliites</v>
      </c>
      <c r="K241" s="90" t="str">
        <f t="shared" si="14"/>
        <v>CM CF R3 Retention</v>
      </c>
      <c r="L241" s="91" t="str">
        <f t="shared" si="15"/>
        <v>CM CF R3-2 Vendor Retention</v>
      </c>
      <c r="M241" s="92">
        <f t="shared" si="16"/>
        <v>0</v>
      </c>
      <c r="N241" s="93">
        <f t="shared" si="17"/>
        <v>0</v>
      </c>
      <c r="O241" s="94">
        <f t="shared" si="18"/>
        <v>0</v>
      </c>
    </row>
    <row r="242" spans="1:15" s="101" customFormat="1">
      <c r="A242" s="95" t="s">
        <v>885</v>
      </c>
      <c r="B242" s="95" t="s">
        <v>886</v>
      </c>
      <c r="C242" s="87" t="s">
        <v>8</v>
      </c>
      <c r="D242" s="102" t="s">
        <v>920</v>
      </c>
      <c r="E242" s="87">
        <v>4</v>
      </c>
      <c r="F242" s="87" t="s">
        <v>938</v>
      </c>
      <c r="G242" s="87">
        <v>1</v>
      </c>
      <c r="H242" s="87" t="s">
        <v>939</v>
      </c>
      <c r="I242" s="88"/>
      <c r="J242" s="89" t="str">
        <f t="shared" si="13"/>
        <v>CM CF R Other Current Liabiliites</v>
      </c>
      <c r="K242" s="90" t="str">
        <f t="shared" si="14"/>
        <v>CM CF R4 Provision</v>
      </c>
      <c r="L242" s="91" t="str">
        <f t="shared" si="15"/>
        <v>CM CF R4-1 Interest Payable- UL</v>
      </c>
      <c r="M242" s="92">
        <f t="shared" si="16"/>
        <v>0</v>
      </c>
      <c r="N242" s="93">
        <f t="shared" si="17"/>
        <v>0</v>
      </c>
      <c r="O242" s="94">
        <f t="shared" si="18"/>
        <v>0</v>
      </c>
    </row>
    <row r="243" spans="1:15">
      <c r="A243" s="49" t="s">
        <v>885</v>
      </c>
      <c r="B243" s="49" t="s">
        <v>885</v>
      </c>
      <c r="C243" s="87" t="s">
        <v>8</v>
      </c>
      <c r="D243" s="102" t="s">
        <v>920</v>
      </c>
      <c r="E243" s="87">
        <v>5</v>
      </c>
      <c r="F243" s="87" t="s">
        <v>940</v>
      </c>
      <c r="G243" s="66">
        <v>1</v>
      </c>
      <c r="H243" s="66" t="s">
        <v>49</v>
      </c>
      <c r="J243" s="57" t="str">
        <f t="shared" si="13"/>
        <v>CM CF R Other Current Liabiliites</v>
      </c>
      <c r="K243" s="59" t="str">
        <f t="shared" si="14"/>
        <v>CM CF R5 Duties and Taxes</v>
      </c>
      <c r="L243" s="45" t="str">
        <f t="shared" si="15"/>
        <v>CM CF R5-1 Professional Tax</v>
      </c>
      <c r="M243" s="61" t="str">
        <f t="shared" si="16"/>
        <v>CM PL R Other Current Liabiliites</v>
      </c>
      <c r="N243" s="63" t="str">
        <f t="shared" si="17"/>
        <v>CM PL R5 Duties and Taxes</v>
      </c>
      <c r="O243" s="46" t="str">
        <f t="shared" si="18"/>
        <v>CM PL R5-1 Professional Tax</v>
      </c>
    </row>
    <row r="244" spans="1:15">
      <c r="A244" s="49" t="s">
        <v>885</v>
      </c>
      <c r="B244" s="49" t="s">
        <v>885</v>
      </c>
      <c r="C244" s="87" t="s">
        <v>92</v>
      </c>
      <c r="D244" s="102" t="s">
        <v>941</v>
      </c>
      <c r="E244" s="66">
        <v>1</v>
      </c>
      <c r="F244" s="66" t="s">
        <v>61</v>
      </c>
      <c r="G244" s="66">
        <v>1</v>
      </c>
      <c r="H244" s="66" t="s">
        <v>942</v>
      </c>
      <c r="J244" s="57" t="str">
        <f t="shared" si="13"/>
        <v>CM CF S Other Current Assets</v>
      </c>
      <c r="K244" s="59" t="str">
        <f t="shared" si="14"/>
        <v>CM CF S1 Income Tax</v>
      </c>
      <c r="L244" s="45" t="str">
        <f t="shared" si="15"/>
        <v>CM CF S1-1 Advance Tax paid</v>
      </c>
      <c r="M244" s="61" t="str">
        <f t="shared" si="16"/>
        <v>CM PL S Other Current Assets</v>
      </c>
      <c r="N244" s="63" t="str">
        <f t="shared" si="17"/>
        <v>CM PL S1 Income Tax</v>
      </c>
      <c r="O244" s="46" t="str">
        <f t="shared" si="18"/>
        <v>CM PL S1-1 Advance Tax paid</v>
      </c>
    </row>
    <row r="245" spans="1:15">
      <c r="A245" s="49" t="s">
        <v>885</v>
      </c>
      <c r="B245" s="49" t="s">
        <v>885</v>
      </c>
      <c r="C245" s="66" t="s">
        <v>7</v>
      </c>
      <c r="D245" s="66" t="s">
        <v>954</v>
      </c>
      <c r="E245" s="66">
        <v>1</v>
      </c>
      <c r="F245" s="66" t="s">
        <v>955</v>
      </c>
      <c r="G245" s="66">
        <v>1</v>
      </c>
      <c r="H245" s="66" t="s">
        <v>959</v>
      </c>
      <c r="J245" s="57" t="str">
        <f t="shared" si="13"/>
        <v>CM CF W Payables</v>
      </c>
      <c r="K245" s="59" t="str">
        <f t="shared" si="14"/>
        <v>CM CF W1 Creditros</v>
      </c>
      <c r="L245" s="45" t="str">
        <f t="shared" si="15"/>
        <v>CM CF W1-1 Creditor payable</v>
      </c>
      <c r="M245" s="61" t="str">
        <f t="shared" si="16"/>
        <v>CM PL W Payables</v>
      </c>
      <c r="N245" s="63" t="str">
        <f t="shared" ref="N245" si="22">IF(M245=0,0,IF(ISBLANK($F245)=FALSE,CONCATENATE(,$C$2," ",$M$2," ",$C245,$E245," ",$F245),0))</f>
        <v>CM PL W1 Creditros</v>
      </c>
      <c r="O245" s="46" t="str">
        <f t="shared" ref="O245" si="23">IF(N245=0,0,IF(ISBLANK($F245)=FALSE,CONCATENATE(,$C$2," ",$M$2," ",$C245,$E245,,"-",$G245,," ",$H245),0))</f>
        <v>CM PL W1-1 Creditor payable</v>
      </c>
    </row>
    <row r="246" spans="1:15">
      <c r="A246" s="49" t="s">
        <v>885</v>
      </c>
      <c r="B246" s="49" t="s">
        <v>885</v>
      </c>
      <c r="C246" s="66" t="s">
        <v>7</v>
      </c>
      <c r="D246" s="66" t="s">
        <v>954</v>
      </c>
      <c r="E246" s="66">
        <v>2</v>
      </c>
      <c r="F246" s="66" t="s">
        <v>960</v>
      </c>
      <c r="G246" s="66">
        <v>2</v>
      </c>
      <c r="H246" s="66" t="s">
        <v>956</v>
      </c>
      <c r="J246" s="57" t="str">
        <f t="shared" si="13"/>
        <v>CM CF W Payables</v>
      </c>
      <c r="K246" s="59" t="str">
        <f t="shared" si="14"/>
        <v xml:space="preserve">CM CF W2 Salary </v>
      </c>
      <c r="L246" s="45" t="str">
        <f t="shared" si="15"/>
        <v>CM CF W2-2 Salary Payable</v>
      </c>
      <c r="M246" s="61" t="str">
        <f t="shared" si="16"/>
        <v>CM PL W Payables</v>
      </c>
      <c r="N246" s="63" t="str">
        <f t="shared" ref="N246" si="24">IF(M246=0,0,IF(ISBLANK($F246)=FALSE,CONCATENATE(,$C$2," ",$M$2," ",$C246,$E246," ",$F246),0))</f>
        <v xml:space="preserve">CM PL W2 Salary </v>
      </c>
      <c r="O246" s="46" t="str">
        <f t="shared" ref="O246" si="25">IF(N246=0,0,IF(ISBLANK($F246)=FALSE,CONCATENATE(,$C$2," ",$M$2," ",$C246,$E246,,"-",$G246,," ",$H246),0))</f>
        <v>CM PL W2-2 Salary Payable</v>
      </c>
    </row>
    <row r="247" spans="1:15">
      <c r="A247" s="49" t="s">
        <v>885</v>
      </c>
      <c r="B247" s="49" t="s">
        <v>885</v>
      </c>
      <c r="C247" s="66" t="s">
        <v>7</v>
      </c>
      <c r="D247" s="66" t="s">
        <v>954</v>
      </c>
      <c r="E247" s="66">
        <v>3</v>
      </c>
      <c r="F247" s="66" t="s">
        <v>938</v>
      </c>
      <c r="G247" s="66">
        <v>3</v>
      </c>
      <c r="H247" s="66" t="s">
        <v>961</v>
      </c>
      <c r="J247" s="57" t="str">
        <f t="shared" si="13"/>
        <v>CM CF W Payables</v>
      </c>
      <c r="K247" s="59" t="str">
        <f t="shared" si="14"/>
        <v>CM CF W3 Provision</v>
      </c>
      <c r="L247" s="45" t="str">
        <f t="shared" si="15"/>
        <v>CM CF W3-3 Provision C</v>
      </c>
      <c r="M247" s="61" t="str">
        <f t="shared" si="16"/>
        <v>CM PL W Payables</v>
      </c>
      <c r="N247" s="63" t="str">
        <f t="shared" ref="N247" si="26">IF(M247=0,0,IF(ISBLANK($F247)=FALSE,CONCATENATE(,$C$2," ",$M$2," ",$C247,$E247," ",$F247),0))</f>
        <v>CM PL W3 Provision</v>
      </c>
      <c r="O247" s="46" t="str">
        <f t="shared" ref="O247" si="27">IF(N247=0,0,IF(ISBLANK($F247)=FALSE,CONCATENATE(,$C$2," ",$M$2," ",$C247,$E247,,"-",$G247,," ",$H247),0))</f>
        <v>CM PL W3-3 Provision C</v>
      </c>
    </row>
    <row r="248" spans="1:15" s="101" customFormat="1">
      <c r="A248" s="49" t="s">
        <v>885</v>
      </c>
      <c r="B248" s="95" t="s">
        <v>885</v>
      </c>
      <c r="C248" s="87" t="s">
        <v>7</v>
      </c>
      <c r="D248" s="87" t="s">
        <v>954</v>
      </c>
      <c r="E248" s="87">
        <v>4</v>
      </c>
      <c r="F248" s="87" t="s">
        <v>957</v>
      </c>
      <c r="G248" s="87">
        <v>1</v>
      </c>
      <c r="H248" s="87" t="s">
        <v>958</v>
      </c>
      <c r="I248" s="88"/>
      <c r="J248" s="89" t="str">
        <f t="shared" si="13"/>
        <v>CM CF W Payables</v>
      </c>
      <c r="K248" s="90" t="str">
        <f t="shared" si="14"/>
        <v>CM CF W4 Statutory Payables</v>
      </c>
      <c r="L248" s="91" t="str">
        <f t="shared" si="15"/>
        <v>CM CF W4-1 GST Payables</v>
      </c>
      <c r="M248" s="92" t="str">
        <f t="shared" si="16"/>
        <v>CM PL W Payables</v>
      </c>
      <c r="N248" s="93" t="str">
        <f t="shared" si="17"/>
        <v>CM PL W4 Statutory Payables</v>
      </c>
      <c r="O248" s="94" t="str">
        <f t="shared" si="18"/>
        <v>CM PL W4-1 GST Payables</v>
      </c>
    </row>
    <row r="249" spans="1:15" s="101" customFormat="1">
      <c r="A249" s="49" t="s">
        <v>885</v>
      </c>
      <c r="B249" s="95" t="s">
        <v>885</v>
      </c>
      <c r="C249" s="87" t="s">
        <v>7</v>
      </c>
      <c r="D249" s="87" t="s">
        <v>954</v>
      </c>
      <c r="E249" s="87">
        <v>4</v>
      </c>
      <c r="F249" s="87" t="s">
        <v>957</v>
      </c>
      <c r="G249" s="87">
        <v>2</v>
      </c>
      <c r="H249" s="87" t="s">
        <v>951</v>
      </c>
      <c r="I249" s="88"/>
      <c r="J249" s="89" t="str">
        <f t="shared" si="13"/>
        <v>CM CF W Payables</v>
      </c>
      <c r="K249" s="90" t="str">
        <f t="shared" si="14"/>
        <v>CM CF W4 Statutory Payables</v>
      </c>
      <c r="L249" s="91" t="str">
        <f t="shared" si="15"/>
        <v>CM CF W4-2 TDS Payable</v>
      </c>
      <c r="M249" s="92" t="str">
        <f t="shared" si="16"/>
        <v>CM PL W Payables</v>
      </c>
      <c r="N249" s="93" t="str">
        <f t="shared" si="17"/>
        <v>CM PL W4 Statutory Payables</v>
      </c>
      <c r="O249" s="94" t="str">
        <f t="shared" si="18"/>
        <v>CM PL W4-2 TDS Payable</v>
      </c>
    </row>
    <row r="250" spans="1:15">
      <c r="A250" s="49" t="s">
        <v>885</v>
      </c>
      <c r="B250" s="49" t="s">
        <v>885</v>
      </c>
      <c r="J250" s="57">
        <f t="shared" si="13"/>
        <v>0</v>
      </c>
      <c r="K250" s="59">
        <f t="shared" si="14"/>
        <v>0</v>
      </c>
      <c r="L250" s="45">
        <f t="shared" si="15"/>
        <v>0</v>
      </c>
      <c r="M250" s="61">
        <f t="shared" si="16"/>
        <v>0</v>
      </c>
      <c r="N250" s="63">
        <f t="shared" si="17"/>
        <v>0</v>
      </c>
      <c r="O250" s="46">
        <f t="shared" si="18"/>
        <v>0</v>
      </c>
    </row>
    <row r="251" spans="1:15">
      <c r="A251" s="49" t="s">
        <v>885</v>
      </c>
      <c r="B251" s="49" t="s">
        <v>885</v>
      </c>
      <c r="J251" s="57">
        <f t="shared" si="13"/>
        <v>0</v>
      </c>
      <c r="K251" s="59">
        <f t="shared" si="14"/>
        <v>0</v>
      </c>
      <c r="L251" s="45">
        <f t="shared" si="15"/>
        <v>0</v>
      </c>
      <c r="M251" s="61">
        <f t="shared" si="16"/>
        <v>0</v>
      </c>
      <c r="N251" s="63">
        <f t="shared" si="17"/>
        <v>0</v>
      </c>
      <c r="O251" s="46">
        <f t="shared" si="18"/>
        <v>0</v>
      </c>
    </row>
    <row r="252" spans="1:15">
      <c r="A252" s="49" t="s">
        <v>885</v>
      </c>
      <c r="B252" s="49" t="s">
        <v>885</v>
      </c>
      <c r="J252" s="57">
        <f t="shared" si="13"/>
        <v>0</v>
      </c>
      <c r="K252" s="59">
        <f t="shared" si="14"/>
        <v>0</v>
      </c>
      <c r="L252" s="45">
        <f t="shared" si="15"/>
        <v>0</v>
      </c>
      <c r="M252" s="61">
        <f t="shared" si="16"/>
        <v>0</v>
      </c>
      <c r="N252" s="63">
        <f t="shared" si="17"/>
        <v>0</v>
      </c>
      <c r="O252" s="46">
        <f t="shared" si="18"/>
        <v>0</v>
      </c>
    </row>
    <row r="253" spans="1:15">
      <c r="A253" s="49" t="s">
        <v>885</v>
      </c>
      <c r="B253" s="49" t="s">
        <v>885</v>
      </c>
      <c r="J253" s="57">
        <f t="shared" si="13"/>
        <v>0</v>
      </c>
      <c r="K253" s="59">
        <f t="shared" si="14"/>
        <v>0</v>
      </c>
      <c r="L253" s="45">
        <f t="shared" si="15"/>
        <v>0</v>
      </c>
      <c r="M253" s="61">
        <f t="shared" si="16"/>
        <v>0</v>
      </c>
      <c r="N253" s="63">
        <f t="shared" si="17"/>
        <v>0</v>
      </c>
      <c r="O253" s="46">
        <f t="shared" si="18"/>
        <v>0</v>
      </c>
    </row>
    <row r="254" spans="1:15">
      <c r="A254" s="49" t="s">
        <v>885</v>
      </c>
      <c r="B254" s="49" t="s">
        <v>885</v>
      </c>
      <c r="J254" s="57">
        <f t="shared" si="13"/>
        <v>0</v>
      </c>
      <c r="K254" s="59">
        <f t="shared" si="14"/>
        <v>0</v>
      </c>
      <c r="L254" s="45">
        <f t="shared" si="15"/>
        <v>0</v>
      </c>
      <c r="M254" s="61">
        <f t="shared" si="16"/>
        <v>0</v>
      </c>
      <c r="N254" s="63">
        <f t="shared" si="17"/>
        <v>0</v>
      </c>
      <c r="O254" s="46">
        <f t="shared" si="18"/>
        <v>0</v>
      </c>
    </row>
    <row r="255" spans="1:15">
      <c r="A255" s="49" t="s">
        <v>885</v>
      </c>
      <c r="B255" s="49" t="s">
        <v>885</v>
      </c>
      <c r="J255" s="57">
        <f t="shared" si="13"/>
        <v>0</v>
      </c>
      <c r="K255" s="59">
        <f t="shared" si="14"/>
        <v>0</v>
      </c>
      <c r="L255" s="45">
        <f t="shared" si="15"/>
        <v>0</v>
      </c>
      <c r="M255" s="61">
        <f t="shared" si="16"/>
        <v>0</v>
      </c>
      <c r="N255" s="63">
        <f t="shared" si="17"/>
        <v>0</v>
      </c>
      <c r="O255" s="46">
        <f t="shared" si="18"/>
        <v>0</v>
      </c>
    </row>
    <row r="256" spans="1:15">
      <c r="A256" s="49" t="s">
        <v>885</v>
      </c>
      <c r="B256" s="49" t="s">
        <v>885</v>
      </c>
      <c r="J256" s="57">
        <f t="shared" si="13"/>
        <v>0</v>
      </c>
      <c r="K256" s="59">
        <f t="shared" si="14"/>
        <v>0</v>
      </c>
      <c r="L256" s="45">
        <f t="shared" si="15"/>
        <v>0</v>
      </c>
      <c r="M256" s="61">
        <f t="shared" si="16"/>
        <v>0</v>
      </c>
      <c r="N256" s="63">
        <f t="shared" si="17"/>
        <v>0</v>
      </c>
      <c r="O256" s="46">
        <f t="shared" si="18"/>
        <v>0</v>
      </c>
    </row>
    <row r="257" spans="1:15">
      <c r="A257" s="49" t="s">
        <v>885</v>
      </c>
      <c r="B257" s="49" t="s">
        <v>885</v>
      </c>
      <c r="J257" s="57">
        <f t="shared" si="13"/>
        <v>0</v>
      </c>
      <c r="K257" s="59">
        <f t="shared" si="14"/>
        <v>0</v>
      </c>
      <c r="L257" s="45">
        <f t="shared" si="15"/>
        <v>0</v>
      </c>
      <c r="M257" s="61">
        <f t="shared" si="16"/>
        <v>0</v>
      </c>
      <c r="N257" s="63">
        <f t="shared" si="17"/>
        <v>0</v>
      </c>
      <c r="O257" s="46">
        <f t="shared" si="18"/>
        <v>0</v>
      </c>
    </row>
    <row r="258" spans="1:15">
      <c r="A258" s="49" t="s">
        <v>885</v>
      </c>
      <c r="B258" s="49" t="s">
        <v>885</v>
      </c>
      <c r="J258" s="57">
        <f t="shared" si="13"/>
        <v>0</v>
      </c>
      <c r="K258" s="59">
        <f t="shared" si="14"/>
        <v>0</v>
      </c>
      <c r="L258" s="45">
        <f t="shared" si="15"/>
        <v>0</v>
      </c>
      <c r="M258" s="61">
        <f t="shared" si="16"/>
        <v>0</v>
      </c>
      <c r="N258" s="63">
        <f t="shared" si="17"/>
        <v>0</v>
      </c>
      <c r="O258" s="46">
        <f t="shared" si="18"/>
        <v>0</v>
      </c>
    </row>
    <row r="259" spans="1:15">
      <c r="A259" s="49" t="s">
        <v>885</v>
      </c>
      <c r="B259" s="49" t="s">
        <v>885</v>
      </c>
      <c r="J259" s="57">
        <f t="shared" si="13"/>
        <v>0</v>
      </c>
      <c r="K259" s="59">
        <f t="shared" si="14"/>
        <v>0</v>
      </c>
      <c r="L259" s="45">
        <f t="shared" si="15"/>
        <v>0</v>
      </c>
      <c r="M259" s="61">
        <f t="shared" si="16"/>
        <v>0</v>
      </c>
      <c r="N259" s="63">
        <f t="shared" si="17"/>
        <v>0</v>
      </c>
      <c r="O259" s="46">
        <f t="shared" si="18"/>
        <v>0</v>
      </c>
    </row>
    <row r="260" spans="1:15">
      <c r="A260" s="49" t="s">
        <v>885</v>
      </c>
      <c r="B260" s="49" t="s">
        <v>885</v>
      </c>
      <c r="J260" s="57">
        <f t="shared" si="13"/>
        <v>0</v>
      </c>
      <c r="K260" s="59">
        <f t="shared" si="14"/>
        <v>0</v>
      </c>
      <c r="L260" s="45">
        <f t="shared" si="15"/>
        <v>0</v>
      </c>
      <c r="M260" s="61">
        <f t="shared" si="16"/>
        <v>0</v>
      </c>
      <c r="N260" s="63">
        <f t="shared" si="17"/>
        <v>0</v>
      </c>
      <c r="O260" s="46">
        <f t="shared" si="18"/>
        <v>0</v>
      </c>
    </row>
    <row r="261" spans="1:15">
      <c r="A261" s="49" t="s">
        <v>885</v>
      </c>
      <c r="B261" s="49" t="s">
        <v>885</v>
      </c>
      <c r="J261" s="57">
        <f t="shared" si="13"/>
        <v>0</v>
      </c>
      <c r="K261" s="59">
        <f t="shared" si="14"/>
        <v>0</v>
      </c>
      <c r="L261" s="45">
        <f t="shared" si="15"/>
        <v>0</v>
      </c>
      <c r="M261" s="61">
        <f t="shared" si="16"/>
        <v>0</v>
      </c>
      <c r="N261" s="63">
        <f t="shared" si="17"/>
        <v>0</v>
      </c>
      <c r="O261" s="46">
        <f t="shared" si="18"/>
        <v>0</v>
      </c>
    </row>
    <row r="262" spans="1:15">
      <c r="A262" s="49" t="s">
        <v>885</v>
      </c>
      <c r="B262" s="49" t="s">
        <v>885</v>
      </c>
      <c r="J262" s="57">
        <f t="shared" si="13"/>
        <v>0</v>
      </c>
      <c r="K262" s="59">
        <f t="shared" si="14"/>
        <v>0</v>
      </c>
      <c r="L262" s="45">
        <f t="shared" si="15"/>
        <v>0</v>
      </c>
      <c r="M262" s="61">
        <f t="shared" si="16"/>
        <v>0</v>
      </c>
      <c r="N262" s="63">
        <f t="shared" si="17"/>
        <v>0</v>
      </c>
      <c r="O262" s="46">
        <f t="shared" si="18"/>
        <v>0</v>
      </c>
    </row>
    <row r="263" spans="1:15">
      <c r="A263" s="49" t="s">
        <v>885</v>
      </c>
      <c r="B263" s="49" t="s">
        <v>885</v>
      </c>
      <c r="J263" s="57">
        <f t="shared" si="13"/>
        <v>0</v>
      </c>
      <c r="K263" s="59">
        <f t="shared" si="14"/>
        <v>0</v>
      </c>
      <c r="L263" s="45">
        <f t="shared" si="15"/>
        <v>0</v>
      </c>
      <c r="M263" s="61">
        <f t="shared" si="16"/>
        <v>0</v>
      </c>
      <c r="N263" s="63">
        <f t="shared" si="17"/>
        <v>0</v>
      </c>
      <c r="O263" s="46">
        <f t="shared" si="18"/>
        <v>0</v>
      </c>
    </row>
    <row r="264" spans="1:15">
      <c r="A264" s="49" t="s">
        <v>885</v>
      </c>
      <c r="B264" s="49" t="s">
        <v>885</v>
      </c>
      <c r="J264" s="57">
        <f t="shared" si="13"/>
        <v>0</v>
      </c>
      <c r="K264" s="59">
        <f t="shared" si="14"/>
        <v>0</v>
      </c>
      <c r="L264" s="45">
        <f t="shared" si="15"/>
        <v>0</v>
      </c>
      <c r="M264" s="61">
        <f t="shared" si="16"/>
        <v>0</v>
      </c>
      <c r="N264" s="63">
        <f t="shared" si="17"/>
        <v>0</v>
      </c>
      <c r="O264" s="46">
        <f t="shared" si="18"/>
        <v>0</v>
      </c>
    </row>
    <row r="265" spans="1:15">
      <c r="A265" s="49" t="s">
        <v>885</v>
      </c>
      <c r="B265" s="49" t="s">
        <v>885</v>
      </c>
      <c r="J265" s="57">
        <f t="shared" si="13"/>
        <v>0</v>
      </c>
      <c r="K265" s="59">
        <f t="shared" si="14"/>
        <v>0</v>
      </c>
      <c r="L265" s="45">
        <f t="shared" si="15"/>
        <v>0</v>
      </c>
      <c r="M265" s="61">
        <f t="shared" si="16"/>
        <v>0</v>
      </c>
      <c r="N265" s="63">
        <f t="shared" si="17"/>
        <v>0</v>
      </c>
      <c r="O265" s="46">
        <f t="shared" si="18"/>
        <v>0</v>
      </c>
    </row>
    <row r="266" spans="1:15">
      <c r="A266" s="49" t="s">
        <v>885</v>
      </c>
      <c r="B266" s="49" t="s">
        <v>885</v>
      </c>
      <c r="J266" s="57">
        <f t="shared" si="13"/>
        <v>0</v>
      </c>
      <c r="K266" s="59">
        <f t="shared" si="14"/>
        <v>0</v>
      </c>
      <c r="L266" s="45">
        <f t="shared" si="15"/>
        <v>0</v>
      </c>
      <c r="M266" s="61">
        <f t="shared" si="16"/>
        <v>0</v>
      </c>
      <c r="N266" s="63">
        <f t="shared" si="17"/>
        <v>0</v>
      </c>
      <c r="O266" s="46">
        <f t="shared" si="18"/>
        <v>0</v>
      </c>
    </row>
    <row r="267" spans="1:15">
      <c r="A267" s="49" t="s">
        <v>885</v>
      </c>
      <c r="B267" s="49" t="s">
        <v>885</v>
      </c>
      <c r="J267" s="57">
        <f t="shared" si="13"/>
        <v>0</v>
      </c>
      <c r="K267" s="59">
        <f t="shared" si="14"/>
        <v>0</v>
      </c>
      <c r="L267" s="45">
        <f t="shared" si="15"/>
        <v>0</v>
      </c>
      <c r="M267" s="61">
        <f t="shared" si="16"/>
        <v>0</v>
      </c>
      <c r="N267" s="63">
        <f t="shared" si="17"/>
        <v>0</v>
      </c>
      <c r="O267" s="46">
        <f t="shared" si="18"/>
        <v>0</v>
      </c>
    </row>
    <row r="268" spans="1:15">
      <c r="A268" s="49" t="s">
        <v>885</v>
      </c>
      <c r="B268" s="49" t="s">
        <v>885</v>
      </c>
      <c r="J268" s="57">
        <f t="shared" si="13"/>
        <v>0</v>
      </c>
      <c r="K268" s="59">
        <f t="shared" si="14"/>
        <v>0</v>
      </c>
      <c r="L268" s="45">
        <f t="shared" si="15"/>
        <v>0</v>
      </c>
      <c r="M268" s="61">
        <f t="shared" si="16"/>
        <v>0</v>
      </c>
      <c r="N268" s="63">
        <f t="shared" si="17"/>
        <v>0</v>
      </c>
      <c r="O268" s="46">
        <f t="shared" si="18"/>
        <v>0</v>
      </c>
    </row>
    <row r="269" spans="1:15">
      <c r="A269" s="49" t="s">
        <v>885</v>
      </c>
      <c r="B269" s="49" t="s">
        <v>885</v>
      </c>
      <c r="J269" s="57">
        <f t="shared" si="13"/>
        <v>0</v>
      </c>
      <c r="K269" s="59">
        <f t="shared" si="14"/>
        <v>0</v>
      </c>
      <c r="L269" s="45">
        <f t="shared" si="15"/>
        <v>0</v>
      </c>
      <c r="M269" s="61">
        <f t="shared" si="16"/>
        <v>0</v>
      </c>
      <c r="N269" s="63">
        <f t="shared" si="17"/>
        <v>0</v>
      </c>
      <c r="O269" s="46">
        <f t="shared" si="18"/>
        <v>0</v>
      </c>
    </row>
    <row r="270" spans="1:15">
      <c r="A270" s="49" t="s">
        <v>885</v>
      </c>
      <c r="B270" s="49" t="s">
        <v>885</v>
      </c>
      <c r="J270" s="57">
        <f t="shared" si="13"/>
        <v>0</v>
      </c>
      <c r="K270" s="59">
        <f t="shared" si="14"/>
        <v>0</v>
      </c>
      <c r="L270" s="45">
        <f t="shared" si="15"/>
        <v>0</v>
      </c>
      <c r="M270" s="61">
        <f t="shared" si="16"/>
        <v>0</v>
      </c>
      <c r="N270" s="63">
        <f t="shared" si="17"/>
        <v>0</v>
      </c>
      <c r="O270" s="46">
        <f t="shared" si="18"/>
        <v>0</v>
      </c>
    </row>
    <row r="271" spans="1:15">
      <c r="A271" s="49" t="s">
        <v>885</v>
      </c>
      <c r="B271" s="49" t="s">
        <v>885</v>
      </c>
      <c r="J271" s="57">
        <f t="shared" si="13"/>
        <v>0</v>
      </c>
      <c r="K271" s="59">
        <f t="shared" si="14"/>
        <v>0</v>
      </c>
      <c r="L271" s="45">
        <f t="shared" si="15"/>
        <v>0</v>
      </c>
      <c r="M271" s="61">
        <f t="shared" si="16"/>
        <v>0</v>
      </c>
      <c r="N271" s="63">
        <f t="shared" si="17"/>
        <v>0</v>
      </c>
      <c r="O271" s="46">
        <f t="shared" si="18"/>
        <v>0</v>
      </c>
    </row>
    <row r="272" spans="1:15">
      <c r="A272" s="49" t="s">
        <v>885</v>
      </c>
      <c r="B272" s="49" t="s">
        <v>885</v>
      </c>
      <c r="J272" s="57">
        <f t="shared" ref="J272:J335" si="28">IF($A272="No",0,IF(ISBLANK($D272)=FALSE,CONCATENATE(,$C$2," ",$J$2," ",$C272," ",$D272),0))</f>
        <v>0</v>
      </c>
      <c r="K272" s="59">
        <f t="shared" ref="K272:K335" si="29">IF($J272=0,0,IF(ISBLANK($F272)=FALSE,CONCATENATE(,$C$2," ",$J$2," ",$C272,$E272," ",$F272),0))</f>
        <v>0</v>
      </c>
      <c r="L272" s="45">
        <f t="shared" ref="L272:L335" si="30">IF($K272=0,0,IF(ISBLANK($F272)=FALSE,CONCATENATE(,$C$2," ",$J$2," ",$C272,$E272,,"-",$G272,," ",$H272),0))</f>
        <v>0</v>
      </c>
      <c r="M272" s="61">
        <f t="shared" ref="M272:M335" si="31">IF($B272="No",0,IF(ISBLANK($D272)=FALSE,CONCATENATE(,$C$2," ",$M$2," ",$C272," ",$D272),0))</f>
        <v>0</v>
      </c>
      <c r="N272" s="63">
        <f t="shared" ref="N272:N335" si="32">IF(M272=0,0,IF(ISBLANK($F272)=FALSE,CONCATENATE(,$C$2," ",$M$2," ",$C272,$E272," ",$F272),0))</f>
        <v>0</v>
      </c>
      <c r="O272" s="46">
        <f t="shared" ref="O272:O335" si="33">IF(N272=0,0,IF(ISBLANK($F272)=FALSE,CONCATENATE(,$C$2," ",$M$2," ",$C272,$E272,,"-",$G272,," ",$H272),0))</f>
        <v>0</v>
      </c>
    </row>
    <row r="273" spans="1:15">
      <c r="A273" s="49" t="s">
        <v>885</v>
      </c>
      <c r="B273" s="49" t="s">
        <v>885</v>
      </c>
      <c r="J273" s="57">
        <f t="shared" si="28"/>
        <v>0</v>
      </c>
      <c r="K273" s="59">
        <f t="shared" si="29"/>
        <v>0</v>
      </c>
      <c r="L273" s="45">
        <f t="shared" si="30"/>
        <v>0</v>
      </c>
      <c r="M273" s="61">
        <f t="shared" si="31"/>
        <v>0</v>
      </c>
      <c r="N273" s="63">
        <f t="shared" si="32"/>
        <v>0</v>
      </c>
      <c r="O273" s="46">
        <f t="shared" si="33"/>
        <v>0</v>
      </c>
    </row>
    <row r="274" spans="1:15">
      <c r="A274" s="49" t="s">
        <v>885</v>
      </c>
      <c r="B274" s="49" t="s">
        <v>885</v>
      </c>
      <c r="J274" s="57">
        <f t="shared" si="28"/>
        <v>0</v>
      </c>
      <c r="K274" s="59">
        <f t="shared" si="29"/>
        <v>0</v>
      </c>
      <c r="L274" s="45">
        <f t="shared" si="30"/>
        <v>0</v>
      </c>
      <c r="M274" s="61">
        <f t="shared" si="31"/>
        <v>0</v>
      </c>
      <c r="N274" s="63">
        <f t="shared" si="32"/>
        <v>0</v>
      </c>
      <c r="O274" s="46">
        <f t="shared" si="33"/>
        <v>0</v>
      </c>
    </row>
    <row r="275" spans="1:15">
      <c r="A275" s="49" t="s">
        <v>885</v>
      </c>
      <c r="B275" s="49" t="s">
        <v>885</v>
      </c>
      <c r="J275" s="57">
        <f t="shared" si="28"/>
        <v>0</v>
      </c>
      <c r="K275" s="59">
        <f t="shared" si="29"/>
        <v>0</v>
      </c>
      <c r="L275" s="45">
        <f t="shared" si="30"/>
        <v>0</v>
      </c>
      <c r="M275" s="61">
        <f t="shared" si="31"/>
        <v>0</v>
      </c>
      <c r="N275" s="63">
        <f t="shared" si="32"/>
        <v>0</v>
      </c>
      <c r="O275" s="46">
        <f t="shared" si="33"/>
        <v>0</v>
      </c>
    </row>
    <row r="276" spans="1:15">
      <c r="A276" s="49" t="s">
        <v>885</v>
      </c>
      <c r="B276" s="49" t="s">
        <v>885</v>
      </c>
      <c r="J276" s="57">
        <f t="shared" si="28"/>
        <v>0</v>
      </c>
      <c r="K276" s="59">
        <f t="shared" si="29"/>
        <v>0</v>
      </c>
      <c r="L276" s="45">
        <f t="shared" si="30"/>
        <v>0</v>
      </c>
      <c r="M276" s="61">
        <f t="shared" si="31"/>
        <v>0</v>
      </c>
      <c r="N276" s="63">
        <f t="shared" si="32"/>
        <v>0</v>
      </c>
      <c r="O276" s="46">
        <f t="shared" si="33"/>
        <v>0</v>
      </c>
    </row>
    <row r="277" spans="1:15">
      <c r="A277" s="49" t="s">
        <v>885</v>
      </c>
      <c r="B277" s="49" t="s">
        <v>885</v>
      </c>
      <c r="J277" s="57">
        <f t="shared" si="28"/>
        <v>0</v>
      </c>
      <c r="K277" s="59">
        <f t="shared" si="29"/>
        <v>0</v>
      </c>
      <c r="L277" s="45">
        <f t="shared" si="30"/>
        <v>0</v>
      </c>
      <c r="M277" s="61">
        <f t="shared" si="31"/>
        <v>0</v>
      </c>
      <c r="N277" s="63">
        <f t="shared" si="32"/>
        <v>0</v>
      </c>
      <c r="O277" s="46">
        <f t="shared" si="33"/>
        <v>0</v>
      </c>
    </row>
    <row r="278" spans="1:15">
      <c r="A278" s="49" t="s">
        <v>885</v>
      </c>
      <c r="B278" s="49" t="s">
        <v>885</v>
      </c>
      <c r="J278" s="57">
        <f t="shared" si="28"/>
        <v>0</v>
      </c>
      <c r="K278" s="59">
        <f t="shared" si="29"/>
        <v>0</v>
      </c>
      <c r="L278" s="45">
        <f t="shared" si="30"/>
        <v>0</v>
      </c>
      <c r="M278" s="61">
        <f t="shared" si="31"/>
        <v>0</v>
      </c>
      <c r="N278" s="63">
        <f t="shared" si="32"/>
        <v>0</v>
      </c>
      <c r="O278" s="46">
        <f t="shared" si="33"/>
        <v>0</v>
      </c>
    </row>
    <row r="279" spans="1:15">
      <c r="A279" s="49" t="s">
        <v>885</v>
      </c>
      <c r="B279" s="49" t="s">
        <v>885</v>
      </c>
      <c r="J279" s="57">
        <f t="shared" si="28"/>
        <v>0</v>
      </c>
      <c r="K279" s="59">
        <f t="shared" si="29"/>
        <v>0</v>
      </c>
      <c r="L279" s="45">
        <f t="shared" si="30"/>
        <v>0</v>
      </c>
      <c r="M279" s="61">
        <f t="shared" si="31"/>
        <v>0</v>
      </c>
      <c r="N279" s="63">
        <f t="shared" si="32"/>
        <v>0</v>
      </c>
      <c r="O279" s="46">
        <f t="shared" si="33"/>
        <v>0</v>
      </c>
    </row>
    <row r="280" spans="1:15">
      <c r="A280" s="49" t="s">
        <v>885</v>
      </c>
      <c r="B280" s="49" t="s">
        <v>885</v>
      </c>
      <c r="J280" s="57">
        <f t="shared" si="28"/>
        <v>0</v>
      </c>
      <c r="K280" s="59">
        <f t="shared" si="29"/>
        <v>0</v>
      </c>
      <c r="L280" s="45">
        <f t="shared" si="30"/>
        <v>0</v>
      </c>
      <c r="M280" s="61">
        <f t="shared" si="31"/>
        <v>0</v>
      </c>
      <c r="N280" s="63">
        <f t="shared" si="32"/>
        <v>0</v>
      </c>
      <c r="O280" s="46">
        <f t="shared" si="33"/>
        <v>0</v>
      </c>
    </row>
    <row r="281" spans="1:15">
      <c r="A281" s="49" t="s">
        <v>885</v>
      </c>
      <c r="B281" s="49" t="s">
        <v>885</v>
      </c>
      <c r="J281" s="57">
        <f t="shared" si="28"/>
        <v>0</v>
      </c>
      <c r="K281" s="59">
        <f t="shared" si="29"/>
        <v>0</v>
      </c>
      <c r="L281" s="45">
        <f t="shared" si="30"/>
        <v>0</v>
      </c>
      <c r="M281" s="61">
        <f t="shared" si="31"/>
        <v>0</v>
      </c>
      <c r="N281" s="63">
        <f t="shared" si="32"/>
        <v>0</v>
      </c>
      <c r="O281" s="46">
        <f t="shared" si="33"/>
        <v>0</v>
      </c>
    </row>
    <row r="282" spans="1:15">
      <c r="A282" s="49" t="s">
        <v>885</v>
      </c>
      <c r="B282" s="49" t="s">
        <v>885</v>
      </c>
      <c r="J282" s="57">
        <f t="shared" si="28"/>
        <v>0</v>
      </c>
      <c r="K282" s="59">
        <f t="shared" si="29"/>
        <v>0</v>
      </c>
      <c r="L282" s="45">
        <f t="shared" si="30"/>
        <v>0</v>
      </c>
      <c r="M282" s="61">
        <f t="shared" si="31"/>
        <v>0</v>
      </c>
      <c r="N282" s="63">
        <f t="shared" si="32"/>
        <v>0</v>
      </c>
      <c r="O282" s="46">
        <f t="shared" si="33"/>
        <v>0</v>
      </c>
    </row>
    <row r="283" spans="1:15">
      <c r="A283" s="49" t="s">
        <v>885</v>
      </c>
      <c r="B283" s="49" t="s">
        <v>885</v>
      </c>
      <c r="J283" s="57">
        <f t="shared" si="28"/>
        <v>0</v>
      </c>
      <c r="K283" s="59">
        <f t="shared" si="29"/>
        <v>0</v>
      </c>
      <c r="L283" s="45">
        <f t="shared" si="30"/>
        <v>0</v>
      </c>
      <c r="M283" s="61">
        <f t="shared" si="31"/>
        <v>0</v>
      </c>
      <c r="N283" s="63">
        <f t="shared" si="32"/>
        <v>0</v>
      </c>
      <c r="O283" s="46">
        <f t="shared" si="33"/>
        <v>0</v>
      </c>
    </row>
    <row r="284" spans="1:15">
      <c r="A284" s="49" t="s">
        <v>885</v>
      </c>
      <c r="B284" s="49" t="s">
        <v>885</v>
      </c>
      <c r="J284" s="57">
        <f t="shared" si="28"/>
        <v>0</v>
      </c>
      <c r="K284" s="59">
        <f t="shared" si="29"/>
        <v>0</v>
      </c>
      <c r="L284" s="45">
        <f t="shared" si="30"/>
        <v>0</v>
      </c>
      <c r="M284" s="61">
        <f t="shared" si="31"/>
        <v>0</v>
      </c>
      <c r="N284" s="63">
        <f t="shared" si="32"/>
        <v>0</v>
      </c>
      <c r="O284" s="46">
        <f t="shared" si="33"/>
        <v>0</v>
      </c>
    </row>
    <row r="285" spans="1:15">
      <c r="A285" s="49" t="s">
        <v>885</v>
      </c>
      <c r="B285" s="49" t="s">
        <v>885</v>
      </c>
      <c r="J285" s="57">
        <f t="shared" si="28"/>
        <v>0</v>
      </c>
      <c r="K285" s="59">
        <f t="shared" si="29"/>
        <v>0</v>
      </c>
      <c r="L285" s="45">
        <f t="shared" si="30"/>
        <v>0</v>
      </c>
      <c r="M285" s="61">
        <f t="shared" si="31"/>
        <v>0</v>
      </c>
      <c r="N285" s="63">
        <f t="shared" si="32"/>
        <v>0</v>
      </c>
      <c r="O285" s="46">
        <f t="shared" si="33"/>
        <v>0</v>
      </c>
    </row>
    <row r="286" spans="1:15">
      <c r="A286" s="49" t="s">
        <v>885</v>
      </c>
      <c r="B286" s="49" t="s">
        <v>885</v>
      </c>
      <c r="J286" s="57">
        <f t="shared" si="28"/>
        <v>0</v>
      </c>
      <c r="K286" s="59">
        <f t="shared" si="29"/>
        <v>0</v>
      </c>
      <c r="L286" s="45">
        <f t="shared" si="30"/>
        <v>0</v>
      </c>
      <c r="M286" s="61">
        <f t="shared" si="31"/>
        <v>0</v>
      </c>
      <c r="N286" s="63">
        <f t="shared" si="32"/>
        <v>0</v>
      </c>
      <c r="O286" s="46">
        <f t="shared" si="33"/>
        <v>0</v>
      </c>
    </row>
    <row r="287" spans="1:15">
      <c r="A287" s="49" t="s">
        <v>885</v>
      </c>
      <c r="B287" s="49" t="s">
        <v>885</v>
      </c>
      <c r="J287" s="57">
        <f t="shared" si="28"/>
        <v>0</v>
      </c>
      <c r="K287" s="59">
        <f t="shared" si="29"/>
        <v>0</v>
      </c>
      <c r="L287" s="45">
        <f t="shared" si="30"/>
        <v>0</v>
      </c>
      <c r="M287" s="61">
        <f t="shared" si="31"/>
        <v>0</v>
      </c>
      <c r="N287" s="63">
        <f t="shared" si="32"/>
        <v>0</v>
      </c>
      <c r="O287" s="46">
        <f t="shared" si="33"/>
        <v>0</v>
      </c>
    </row>
    <row r="288" spans="1:15">
      <c r="A288" s="49" t="s">
        <v>885</v>
      </c>
      <c r="B288" s="49" t="s">
        <v>885</v>
      </c>
      <c r="J288" s="57">
        <f t="shared" si="28"/>
        <v>0</v>
      </c>
      <c r="K288" s="59">
        <f t="shared" si="29"/>
        <v>0</v>
      </c>
      <c r="L288" s="45">
        <f t="shared" si="30"/>
        <v>0</v>
      </c>
      <c r="M288" s="61">
        <f t="shared" si="31"/>
        <v>0</v>
      </c>
      <c r="N288" s="63">
        <f t="shared" si="32"/>
        <v>0</v>
      </c>
      <c r="O288" s="46">
        <f t="shared" si="33"/>
        <v>0</v>
      </c>
    </row>
    <row r="289" spans="1:15">
      <c r="A289" s="49" t="s">
        <v>885</v>
      </c>
      <c r="B289" s="49" t="s">
        <v>885</v>
      </c>
      <c r="J289" s="57">
        <f t="shared" si="28"/>
        <v>0</v>
      </c>
      <c r="K289" s="59">
        <f t="shared" si="29"/>
        <v>0</v>
      </c>
      <c r="L289" s="45">
        <f t="shared" si="30"/>
        <v>0</v>
      </c>
      <c r="M289" s="61">
        <f t="shared" si="31"/>
        <v>0</v>
      </c>
      <c r="N289" s="63">
        <f t="shared" si="32"/>
        <v>0</v>
      </c>
      <c r="O289" s="46">
        <f t="shared" si="33"/>
        <v>0</v>
      </c>
    </row>
    <row r="290" spans="1:15">
      <c r="A290" s="49" t="s">
        <v>885</v>
      </c>
      <c r="B290" s="49" t="s">
        <v>885</v>
      </c>
      <c r="J290" s="57">
        <f t="shared" si="28"/>
        <v>0</v>
      </c>
      <c r="K290" s="59">
        <f t="shared" si="29"/>
        <v>0</v>
      </c>
      <c r="L290" s="45">
        <f t="shared" si="30"/>
        <v>0</v>
      </c>
      <c r="M290" s="61">
        <f t="shared" si="31"/>
        <v>0</v>
      </c>
      <c r="N290" s="63">
        <f t="shared" si="32"/>
        <v>0</v>
      </c>
      <c r="O290" s="46">
        <f t="shared" si="33"/>
        <v>0</v>
      </c>
    </row>
    <row r="291" spans="1:15">
      <c r="A291" s="49" t="s">
        <v>885</v>
      </c>
      <c r="B291" s="49" t="s">
        <v>885</v>
      </c>
      <c r="J291" s="57">
        <f t="shared" si="28"/>
        <v>0</v>
      </c>
      <c r="K291" s="59">
        <f t="shared" si="29"/>
        <v>0</v>
      </c>
      <c r="L291" s="45">
        <f t="shared" si="30"/>
        <v>0</v>
      </c>
      <c r="M291" s="61">
        <f t="shared" si="31"/>
        <v>0</v>
      </c>
      <c r="N291" s="63">
        <f t="shared" si="32"/>
        <v>0</v>
      </c>
      <c r="O291" s="46">
        <f t="shared" si="33"/>
        <v>0</v>
      </c>
    </row>
    <row r="292" spans="1:15">
      <c r="A292" s="49" t="s">
        <v>885</v>
      </c>
      <c r="B292" s="49" t="s">
        <v>885</v>
      </c>
      <c r="J292" s="57">
        <f t="shared" si="28"/>
        <v>0</v>
      </c>
      <c r="K292" s="59">
        <f t="shared" si="29"/>
        <v>0</v>
      </c>
      <c r="L292" s="45">
        <f t="shared" si="30"/>
        <v>0</v>
      </c>
      <c r="M292" s="61">
        <f t="shared" si="31"/>
        <v>0</v>
      </c>
      <c r="N292" s="63">
        <f t="shared" si="32"/>
        <v>0</v>
      </c>
      <c r="O292" s="46">
        <f t="shared" si="33"/>
        <v>0</v>
      </c>
    </row>
    <row r="293" spans="1:15">
      <c r="A293" s="49" t="s">
        <v>885</v>
      </c>
      <c r="B293" s="49" t="s">
        <v>885</v>
      </c>
      <c r="J293" s="57">
        <f t="shared" si="28"/>
        <v>0</v>
      </c>
      <c r="K293" s="59">
        <f t="shared" si="29"/>
        <v>0</v>
      </c>
      <c r="L293" s="45">
        <f t="shared" si="30"/>
        <v>0</v>
      </c>
      <c r="M293" s="61">
        <f t="shared" si="31"/>
        <v>0</v>
      </c>
      <c r="N293" s="63">
        <f t="shared" si="32"/>
        <v>0</v>
      </c>
      <c r="O293" s="46">
        <f t="shared" si="33"/>
        <v>0</v>
      </c>
    </row>
    <row r="294" spans="1:15">
      <c r="A294" s="49" t="s">
        <v>885</v>
      </c>
      <c r="B294" s="49" t="s">
        <v>885</v>
      </c>
      <c r="J294" s="57">
        <f t="shared" si="28"/>
        <v>0</v>
      </c>
      <c r="K294" s="59">
        <f t="shared" si="29"/>
        <v>0</v>
      </c>
      <c r="L294" s="45">
        <f t="shared" si="30"/>
        <v>0</v>
      </c>
      <c r="M294" s="61">
        <f t="shared" si="31"/>
        <v>0</v>
      </c>
      <c r="N294" s="63">
        <f t="shared" si="32"/>
        <v>0</v>
      </c>
      <c r="O294" s="46">
        <f t="shared" si="33"/>
        <v>0</v>
      </c>
    </row>
    <row r="295" spans="1:15">
      <c r="A295" s="49" t="s">
        <v>885</v>
      </c>
      <c r="B295" s="49" t="s">
        <v>885</v>
      </c>
      <c r="J295" s="57">
        <f t="shared" si="28"/>
        <v>0</v>
      </c>
      <c r="K295" s="59">
        <f t="shared" si="29"/>
        <v>0</v>
      </c>
      <c r="L295" s="45">
        <f t="shared" si="30"/>
        <v>0</v>
      </c>
      <c r="M295" s="61">
        <f t="shared" si="31"/>
        <v>0</v>
      </c>
      <c r="N295" s="63">
        <f t="shared" si="32"/>
        <v>0</v>
      </c>
      <c r="O295" s="46">
        <f t="shared" si="33"/>
        <v>0</v>
      </c>
    </row>
    <row r="296" spans="1:15">
      <c r="A296" s="49" t="s">
        <v>885</v>
      </c>
      <c r="B296" s="49" t="s">
        <v>885</v>
      </c>
      <c r="J296" s="57">
        <f t="shared" si="28"/>
        <v>0</v>
      </c>
      <c r="K296" s="59">
        <f t="shared" si="29"/>
        <v>0</v>
      </c>
      <c r="L296" s="45">
        <f t="shared" si="30"/>
        <v>0</v>
      </c>
      <c r="M296" s="61">
        <f t="shared" si="31"/>
        <v>0</v>
      </c>
      <c r="N296" s="63">
        <f t="shared" si="32"/>
        <v>0</v>
      </c>
      <c r="O296" s="46">
        <f t="shared" si="33"/>
        <v>0</v>
      </c>
    </row>
    <row r="297" spans="1:15">
      <c r="A297" s="49" t="s">
        <v>885</v>
      </c>
      <c r="B297" s="49" t="s">
        <v>885</v>
      </c>
      <c r="J297" s="57">
        <f t="shared" si="28"/>
        <v>0</v>
      </c>
      <c r="K297" s="59">
        <f t="shared" si="29"/>
        <v>0</v>
      </c>
      <c r="L297" s="45">
        <f t="shared" si="30"/>
        <v>0</v>
      </c>
      <c r="M297" s="61">
        <f t="shared" si="31"/>
        <v>0</v>
      </c>
      <c r="N297" s="63">
        <f t="shared" si="32"/>
        <v>0</v>
      </c>
      <c r="O297" s="46">
        <f t="shared" si="33"/>
        <v>0</v>
      </c>
    </row>
    <row r="298" spans="1:15">
      <c r="A298" s="49" t="s">
        <v>885</v>
      </c>
      <c r="B298" s="49" t="s">
        <v>885</v>
      </c>
      <c r="J298" s="57">
        <f t="shared" si="28"/>
        <v>0</v>
      </c>
      <c r="K298" s="59">
        <f t="shared" si="29"/>
        <v>0</v>
      </c>
      <c r="L298" s="45">
        <f t="shared" si="30"/>
        <v>0</v>
      </c>
      <c r="M298" s="61">
        <f t="shared" si="31"/>
        <v>0</v>
      </c>
      <c r="N298" s="63">
        <f t="shared" si="32"/>
        <v>0</v>
      </c>
      <c r="O298" s="46">
        <f t="shared" si="33"/>
        <v>0</v>
      </c>
    </row>
    <row r="299" spans="1:15">
      <c r="A299" s="49" t="s">
        <v>885</v>
      </c>
      <c r="B299" s="49" t="s">
        <v>885</v>
      </c>
      <c r="J299" s="57">
        <f t="shared" si="28"/>
        <v>0</v>
      </c>
      <c r="K299" s="59">
        <f t="shared" si="29"/>
        <v>0</v>
      </c>
      <c r="L299" s="45">
        <f t="shared" si="30"/>
        <v>0</v>
      </c>
      <c r="M299" s="61">
        <f t="shared" si="31"/>
        <v>0</v>
      </c>
      <c r="N299" s="63">
        <f t="shared" si="32"/>
        <v>0</v>
      </c>
      <c r="O299" s="46">
        <f t="shared" si="33"/>
        <v>0</v>
      </c>
    </row>
    <row r="300" spans="1:15">
      <c r="A300" s="49" t="s">
        <v>885</v>
      </c>
      <c r="B300" s="49" t="s">
        <v>885</v>
      </c>
      <c r="J300" s="57">
        <f t="shared" si="28"/>
        <v>0</v>
      </c>
      <c r="K300" s="59">
        <f t="shared" si="29"/>
        <v>0</v>
      </c>
      <c r="L300" s="45">
        <f t="shared" si="30"/>
        <v>0</v>
      </c>
      <c r="M300" s="61">
        <f t="shared" si="31"/>
        <v>0</v>
      </c>
      <c r="N300" s="63">
        <f t="shared" si="32"/>
        <v>0</v>
      </c>
      <c r="O300" s="46">
        <f t="shared" si="33"/>
        <v>0</v>
      </c>
    </row>
    <row r="301" spans="1:15">
      <c r="A301" s="49" t="s">
        <v>885</v>
      </c>
      <c r="B301" s="49" t="s">
        <v>885</v>
      </c>
      <c r="J301" s="57">
        <f t="shared" si="28"/>
        <v>0</v>
      </c>
      <c r="K301" s="59">
        <f t="shared" si="29"/>
        <v>0</v>
      </c>
      <c r="L301" s="45">
        <f t="shared" si="30"/>
        <v>0</v>
      </c>
      <c r="M301" s="61">
        <f t="shared" si="31"/>
        <v>0</v>
      </c>
      <c r="N301" s="63">
        <f t="shared" si="32"/>
        <v>0</v>
      </c>
      <c r="O301" s="46">
        <f t="shared" si="33"/>
        <v>0</v>
      </c>
    </row>
    <row r="302" spans="1:15">
      <c r="A302" s="49" t="s">
        <v>885</v>
      </c>
      <c r="B302" s="49" t="s">
        <v>885</v>
      </c>
      <c r="J302" s="57">
        <f t="shared" si="28"/>
        <v>0</v>
      </c>
      <c r="K302" s="59">
        <f t="shared" si="29"/>
        <v>0</v>
      </c>
      <c r="L302" s="45">
        <f t="shared" si="30"/>
        <v>0</v>
      </c>
      <c r="M302" s="61">
        <f t="shared" si="31"/>
        <v>0</v>
      </c>
      <c r="N302" s="63">
        <f t="shared" si="32"/>
        <v>0</v>
      </c>
      <c r="O302" s="46">
        <f t="shared" si="33"/>
        <v>0</v>
      </c>
    </row>
    <row r="303" spans="1:15">
      <c r="A303" s="49" t="s">
        <v>885</v>
      </c>
      <c r="B303" s="49" t="s">
        <v>885</v>
      </c>
      <c r="J303" s="57">
        <f t="shared" si="28"/>
        <v>0</v>
      </c>
      <c r="K303" s="59">
        <f t="shared" si="29"/>
        <v>0</v>
      </c>
      <c r="L303" s="45">
        <f t="shared" si="30"/>
        <v>0</v>
      </c>
      <c r="M303" s="61">
        <f t="shared" si="31"/>
        <v>0</v>
      </c>
      <c r="N303" s="63">
        <f t="shared" si="32"/>
        <v>0</v>
      </c>
      <c r="O303" s="46">
        <f t="shared" si="33"/>
        <v>0</v>
      </c>
    </row>
    <row r="304" spans="1:15">
      <c r="A304" s="49" t="s">
        <v>885</v>
      </c>
      <c r="B304" s="49" t="s">
        <v>885</v>
      </c>
      <c r="J304" s="57">
        <f t="shared" si="28"/>
        <v>0</v>
      </c>
      <c r="K304" s="59">
        <f t="shared" si="29"/>
        <v>0</v>
      </c>
      <c r="L304" s="45">
        <f t="shared" si="30"/>
        <v>0</v>
      </c>
      <c r="M304" s="61">
        <f t="shared" si="31"/>
        <v>0</v>
      </c>
      <c r="N304" s="63">
        <f t="shared" si="32"/>
        <v>0</v>
      </c>
      <c r="O304" s="46">
        <f t="shared" si="33"/>
        <v>0</v>
      </c>
    </row>
    <row r="305" spans="1:15">
      <c r="A305" s="49" t="s">
        <v>885</v>
      </c>
      <c r="B305" s="49" t="s">
        <v>885</v>
      </c>
      <c r="J305" s="57">
        <f t="shared" si="28"/>
        <v>0</v>
      </c>
      <c r="K305" s="59">
        <f t="shared" si="29"/>
        <v>0</v>
      </c>
      <c r="L305" s="45">
        <f t="shared" si="30"/>
        <v>0</v>
      </c>
      <c r="M305" s="61">
        <f t="shared" si="31"/>
        <v>0</v>
      </c>
      <c r="N305" s="63">
        <f t="shared" si="32"/>
        <v>0</v>
      </c>
      <c r="O305" s="46">
        <f t="shared" si="33"/>
        <v>0</v>
      </c>
    </row>
    <row r="306" spans="1:15">
      <c r="A306" s="49" t="s">
        <v>885</v>
      </c>
      <c r="B306" s="49" t="s">
        <v>885</v>
      </c>
      <c r="J306" s="57">
        <f t="shared" si="28"/>
        <v>0</v>
      </c>
      <c r="K306" s="59">
        <f t="shared" si="29"/>
        <v>0</v>
      </c>
      <c r="L306" s="45">
        <f t="shared" si="30"/>
        <v>0</v>
      </c>
      <c r="M306" s="61">
        <f t="shared" si="31"/>
        <v>0</v>
      </c>
      <c r="N306" s="63">
        <f t="shared" si="32"/>
        <v>0</v>
      </c>
      <c r="O306" s="46">
        <f t="shared" si="33"/>
        <v>0</v>
      </c>
    </row>
    <row r="307" spans="1:15">
      <c r="A307" s="49" t="s">
        <v>885</v>
      </c>
      <c r="B307" s="49" t="s">
        <v>885</v>
      </c>
      <c r="J307" s="57">
        <f t="shared" si="28"/>
        <v>0</v>
      </c>
      <c r="K307" s="59">
        <f t="shared" si="29"/>
        <v>0</v>
      </c>
      <c r="L307" s="45">
        <f t="shared" si="30"/>
        <v>0</v>
      </c>
      <c r="M307" s="61">
        <f t="shared" si="31"/>
        <v>0</v>
      </c>
      <c r="N307" s="63">
        <f t="shared" si="32"/>
        <v>0</v>
      </c>
      <c r="O307" s="46">
        <f t="shared" si="33"/>
        <v>0</v>
      </c>
    </row>
    <row r="308" spans="1:15">
      <c r="A308" s="49" t="s">
        <v>885</v>
      </c>
      <c r="B308" s="49" t="s">
        <v>885</v>
      </c>
      <c r="J308" s="57">
        <f t="shared" si="28"/>
        <v>0</v>
      </c>
      <c r="K308" s="59">
        <f t="shared" si="29"/>
        <v>0</v>
      </c>
      <c r="L308" s="45">
        <f t="shared" si="30"/>
        <v>0</v>
      </c>
      <c r="M308" s="61">
        <f t="shared" si="31"/>
        <v>0</v>
      </c>
      <c r="N308" s="63">
        <f t="shared" si="32"/>
        <v>0</v>
      </c>
      <c r="O308" s="46">
        <f t="shared" si="33"/>
        <v>0</v>
      </c>
    </row>
    <row r="309" spans="1:15">
      <c r="A309" s="49" t="s">
        <v>885</v>
      </c>
      <c r="B309" s="49" t="s">
        <v>885</v>
      </c>
      <c r="J309" s="57">
        <f t="shared" si="28"/>
        <v>0</v>
      </c>
      <c r="K309" s="59">
        <f t="shared" si="29"/>
        <v>0</v>
      </c>
      <c r="L309" s="45">
        <f t="shared" si="30"/>
        <v>0</v>
      </c>
      <c r="M309" s="61">
        <f t="shared" si="31"/>
        <v>0</v>
      </c>
      <c r="N309" s="63">
        <f t="shared" si="32"/>
        <v>0</v>
      </c>
      <c r="O309" s="46">
        <f t="shared" si="33"/>
        <v>0</v>
      </c>
    </row>
    <row r="310" spans="1:15">
      <c r="A310" s="49" t="s">
        <v>885</v>
      </c>
      <c r="B310" s="49" t="s">
        <v>885</v>
      </c>
      <c r="J310" s="57">
        <f t="shared" si="28"/>
        <v>0</v>
      </c>
      <c r="K310" s="59">
        <f t="shared" si="29"/>
        <v>0</v>
      </c>
      <c r="L310" s="45">
        <f t="shared" si="30"/>
        <v>0</v>
      </c>
      <c r="M310" s="61">
        <f t="shared" si="31"/>
        <v>0</v>
      </c>
      <c r="N310" s="63">
        <f t="shared" si="32"/>
        <v>0</v>
      </c>
      <c r="O310" s="46">
        <f t="shared" si="33"/>
        <v>0</v>
      </c>
    </row>
    <row r="311" spans="1:15">
      <c r="A311" s="49" t="s">
        <v>885</v>
      </c>
      <c r="B311" s="49" t="s">
        <v>885</v>
      </c>
      <c r="J311" s="57">
        <f t="shared" si="28"/>
        <v>0</v>
      </c>
      <c r="K311" s="59">
        <f t="shared" si="29"/>
        <v>0</v>
      </c>
      <c r="L311" s="45">
        <f t="shared" si="30"/>
        <v>0</v>
      </c>
      <c r="M311" s="61">
        <f t="shared" si="31"/>
        <v>0</v>
      </c>
      <c r="N311" s="63">
        <f t="shared" si="32"/>
        <v>0</v>
      </c>
      <c r="O311" s="46">
        <f t="shared" si="33"/>
        <v>0</v>
      </c>
    </row>
    <row r="312" spans="1:15">
      <c r="A312" s="49" t="s">
        <v>885</v>
      </c>
      <c r="B312" s="49" t="s">
        <v>885</v>
      </c>
      <c r="J312" s="57">
        <f t="shared" si="28"/>
        <v>0</v>
      </c>
      <c r="K312" s="59">
        <f t="shared" si="29"/>
        <v>0</v>
      </c>
      <c r="L312" s="45">
        <f t="shared" si="30"/>
        <v>0</v>
      </c>
      <c r="M312" s="61">
        <f t="shared" si="31"/>
        <v>0</v>
      </c>
      <c r="N312" s="63">
        <f t="shared" si="32"/>
        <v>0</v>
      </c>
      <c r="O312" s="46">
        <f t="shared" si="33"/>
        <v>0</v>
      </c>
    </row>
    <row r="313" spans="1:15">
      <c r="A313" s="49" t="s">
        <v>885</v>
      </c>
      <c r="B313" s="49" t="s">
        <v>885</v>
      </c>
      <c r="J313" s="57">
        <f t="shared" si="28"/>
        <v>0</v>
      </c>
      <c r="K313" s="59">
        <f t="shared" si="29"/>
        <v>0</v>
      </c>
      <c r="L313" s="45">
        <f t="shared" si="30"/>
        <v>0</v>
      </c>
      <c r="M313" s="61">
        <f t="shared" si="31"/>
        <v>0</v>
      </c>
      <c r="N313" s="63">
        <f t="shared" si="32"/>
        <v>0</v>
      </c>
      <c r="O313" s="46">
        <f t="shared" si="33"/>
        <v>0</v>
      </c>
    </row>
    <row r="314" spans="1:15">
      <c r="A314" s="49" t="s">
        <v>885</v>
      </c>
      <c r="B314" s="49" t="s">
        <v>885</v>
      </c>
      <c r="J314" s="57">
        <f t="shared" si="28"/>
        <v>0</v>
      </c>
      <c r="K314" s="59">
        <f t="shared" si="29"/>
        <v>0</v>
      </c>
      <c r="L314" s="45">
        <f t="shared" si="30"/>
        <v>0</v>
      </c>
      <c r="M314" s="61">
        <f t="shared" si="31"/>
        <v>0</v>
      </c>
      <c r="N314" s="63">
        <f t="shared" si="32"/>
        <v>0</v>
      </c>
      <c r="O314" s="46">
        <f t="shared" si="33"/>
        <v>0</v>
      </c>
    </row>
    <row r="315" spans="1:15">
      <c r="A315" s="49" t="s">
        <v>885</v>
      </c>
      <c r="B315" s="49" t="s">
        <v>885</v>
      </c>
      <c r="J315" s="57">
        <f t="shared" si="28"/>
        <v>0</v>
      </c>
      <c r="K315" s="59">
        <f t="shared" si="29"/>
        <v>0</v>
      </c>
      <c r="L315" s="45">
        <f t="shared" si="30"/>
        <v>0</v>
      </c>
      <c r="M315" s="61">
        <f t="shared" si="31"/>
        <v>0</v>
      </c>
      <c r="N315" s="63">
        <f t="shared" si="32"/>
        <v>0</v>
      </c>
      <c r="O315" s="46">
        <f t="shared" si="33"/>
        <v>0</v>
      </c>
    </row>
    <row r="316" spans="1:15">
      <c r="A316" s="49" t="s">
        <v>885</v>
      </c>
      <c r="B316" s="49" t="s">
        <v>885</v>
      </c>
      <c r="J316" s="57">
        <f t="shared" si="28"/>
        <v>0</v>
      </c>
      <c r="K316" s="59">
        <f t="shared" si="29"/>
        <v>0</v>
      </c>
      <c r="L316" s="45">
        <f t="shared" si="30"/>
        <v>0</v>
      </c>
      <c r="M316" s="61">
        <f t="shared" si="31"/>
        <v>0</v>
      </c>
      <c r="N316" s="63">
        <f t="shared" si="32"/>
        <v>0</v>
      </c>
      <c r="O316" s="46">
        <f t="shared" si="33"/>
        <v>0</v>
      </c>
    </row>
    <row r="317" spans="1:15">
      <c r="A317" s="49" t="s">
        <v>885</v>
      </c>
      <c r="B317" s="49" t="s">
        <v>885</v>
      </c>
      <c r="J317" s="57">
        <f t="shared" si="28"/>
        <v>0</v>
      </c>
      <c r="K317" s="59">
        <f t="shared" si="29"/>
        <v>0</v>
      </c>
      <c r="L317" s="45">
        <f t="shared" si="30"/>
        <v>0</v>
      </c>
      <c r="M317" s="61">
        <f t="shared" si="31"/>
        <v>0</v>
      </c>
      <c r="N317" s="63">
        <f t="shared" si="32"/>
        <v>0</v>
      </c>
      <c r="O317" s="46">
        <f t="shared" si="33"/>
        <v>0</v>
      </c>
    </row>
    <row r="318" spans="1:15">
      <c r="A318" s="49" t="s">
        <v>885</v>
      </c>
      <c r="B318" s="49" t="s">
        <v>885</v>
      </c>
      <c r="J318" s="57">
        <f t="shared" si="28"/>
        <v>0</v>
      </c>
      <c r="K318" s="59">
        <f t="shared" si="29"/>
        <v>0</v>
      </c>
      <c r="L318" s="45">
        <f t="shared" si="30"/>
        <v>0</v>
      </c>
      <c r="M318" s="61">
        <f t="shared" si="31"/>
        <v>0</v>
      </c>
      <c r="N318" s="63">
        <f t="shared" si="32"/>
        <v>0</v>
      </c>
      <c r="O318" s="46">
        <f t="shared" si="33"/>
        <v>0</v>
      </c>
    </row>
    <row r="319" spans="1:15">
      <c r="A319" s="49" t="s">
        <v>885</v>
      </c>
      <c r="B319" s="49" t="s">
        <v>885</v>
      </c>
      <c r="J319" s="57">
        <f t="shared" si="28"/>
        <v>0</v>
      </c>
      <c r="K319" s="59">
        <f t="shared" si="29"/>
        <v>0</v>
      </c>
      <c r="L319" s="45">
        <f t="shared" si="30"/>
        <v>0</v>
      </c>
      <c r="M319" s="61">
        <f t="shared" si="31"/>
        <v>0</v>
      </c>
      <c r="N319" s="63">
        <f t="shared" si="32"/>
        <v>0</v>
      </c>
      <c r="O319" s="46">
        <f t="shared" si="33"/>
        <v>0</v>
      </c>
    </row>
    <row r="320" spans="1:15">
      <c r="A320" s="49" t="s">
        <v>885</v>
      </c>
      <c r="B320" s="49" t="s">
        <v>885</v>
      </c>
      <c r="J320" s="57">
        <f t="shared" si="28"/>
        <v>0</v>
      </c>
      <c r="K320" s="59">
        <f t="shared" si="29"/>
        <v>0</v>
      </c>
      <c r="L320" s="45">
        <f t="shared" si="30"/>
        <v>0</v>
      </c>
      <c r="M320" s="61">
        <f t="shared" si="31"/>
        <v>0</v>
      </c>
      <c r="N320" s="63">
        <f t="shared" si="32"/>
        <v>0</v>
      </c>
      <c r="O320" s="46">
        <f t="shared" si="33"/>
        <v>0</v>
      </c>
    </row>
    <row r="321" spans="1:15">
      <c r="A321" s="49" t="s">
        <v>885</v>
      </c>
      <c r="B321" s="49" t="s">
        <v>885</v>
      </c>
      <c r="J321" s="57">
        <f t="shared" si="28"/>
        <v>0</v>
      </c>
      <c r="K321" s="59">
        <f t="shared" si="29"/>
        <v>0</v>
      </c>
      <c r="L321" s="45">
        <f t="shared" si="30"/>
        <v>0</v>
      </c>
      <c r="M321" s="61">
        <f t="shared" si="31"/>
        <v>0</v>
      </c>
      <c r="N321" s="63">
        <f t="shared" si="32"/>
        <v>0</v>
      </c>
      <c r="O321" s="46">
        <f t="shared" si="33"/>
        <v>0</v>
      </c>
    </row>
    <row r="322" spans="1:15">
      <c r="A322" s="49" t="s">
        <v>885</v>
      </c>
      <c r="B322" s="49" t="s">
        <v>885</v>
      </c>
      <c r="J322" s="57">
        <f t="shared" si="28"/>
        <v>0</v>
      </c>
      <c r="K322" s="59">
        <f t="shared" si="29"/>
        <v>0</v>
      </c>
      <c r="L322" s="45">
        <f t="shared" si="30"/>
        <v>0</v>
      </c>
      <c r="M322" s="61">
        <f t="shared" si="31"/>
        <v>0</v>
      </c>
      <c r="N322" s="63">
        <f t="shared" si="32"/>
        <v>0</v>
      </c>
      <c r="O322" s="46">
        <f t="shared" si="33"/>
        <v>0</v>
      </c>
    </row>
    <row r="323" spans="1:15">
      <c r="A323" s="49" t="s">
        <v>885</v>
      </c>
      <c r="B323" s="49" t="s">
        <v>885</v>
      </c>
      <c r="J323" s="57">
        <f t="shared" si="28"/>
        <v>0</v>
      </c>
      <c r="K323" s="59">
        <f t="shared" si="29"/>
        <v>0</v>
      </c>
      <c r="L323" s="45">
        <f t="shared" si="30"/>
        <v>0</v>
      </c>
      <c r="M323" s="61">
        <f t="shared" si="31"/>
        <v>0</v>
      </c>
      <c r="N323" s="63">
        <f t="shared" si="32"/>
        <v>0</v>
      </c>
      <c r="O323" s="46">
        <f t="shared" si="33"/>
        <v>0</v>
      </c>
    </row>
    <row r="324" spans="1:15">
      <c r="A324" s="49" t="s">
        <v>885</v>
      </c>
      <c r="B324" s="49" t="s">
        <v>885</v>
      </c>
      <c r="J324" s="57">
        <f t="shared" si="28"/>
        <v>0</v>
      </c>
      <c r="K324" s="59">
        <f t="shared" si="29"/>
        <v>0</v>
      </c>
      <c r="L324" s="45">
        <f t="shared" si="30"/>
        <v>0</v>
      </c>
      <c r="M324" s="61">
        <f t="shared" si="31"/>
        <v>0</v>
      </c>
      <c r="N324" s="63">
        <f t="shared" si="32"/>
        <v>0</v>
      </c>
      <c r="O324" s="46">
        <f t="shared" si="33"/>
        <v>0</v>
      </c>
    </row>
    <row r="325" spans="1:15">
      <c r="A325" s="49" t="s">
        <v>885</v>
      </c>
      <c r="B325" s="49" t="s">
        <v>885</v>
      </c>
      <c r="J325" s="57">
        <f t="shared" si="28"/>
        <v>0</v>
      </c>
      <c r="K325" s="59">
        <f t="shared" si="29"/>
        <v>0</v>
      </c>
      <c r="L325" s="45">
        <f t="shared" si="30"/>
        <v>0</v>
      </c>
      <c r="M325" s="61">
        <f t="shared" si="31"/>
        <v>0</v>
      </c>
      <c r="N325" s="63">
        <f t="shared" si="32"/>
        <v>0</v>
      </c>
      <c r="O325" s="46">
        <f t="shared" si="33"/>
        <v>0</v>
      </c>
    </row>
    <row r="326" spans="1:15">
      <c r="A326" s="49" t="s">
        <v>885</v>
      </c>
      <c r="B326" s="49" t="s">
        <v>886</v>
      </c>
      <c r="J326" s="57">
        <f t="shared" si="28"/>
        <v>0</v>
      </c>
      <c r="K326" s="59">
        <f t="shared" si="29"/>
        <v>0</v>
      </c>
      <c r="L326" s="45">
        <f t="shared" si="30"/>
        <v>0</v>
      </c>
      <c r="M326" s="61">
        <f t="shared" si="31"/>
        <v>0</v>
      </c>
      <c r="N326" s="63">
        <f t="shared" si="32"/>
        <v>0</v>
      </c>
      <c r="O326" s="46">
        <f t="shared" si="33"/>
        <v>0</v>
      </c>
    </row>
    <row r="327" spans="1:15">
      <c r="A327" s="49" t="s">
        <v>885</v>
      </c>
      <c r="B327" s="49" t="s">
        <v>886</v>
      </c>
      <c r="J327" s="57">
        <f t="shared" si="28"/>
        <v>0</v>
      </c>
      <c r="K327" s="59">
        <f t="shared" si="29"/>
        <v>0</v>
      </c>
      <c r="L327" s="45">
        <f t="shared" si="30"/>
        <v>0</v>
      </c>
      <c r="M327" s="61">
        <f t="shared" si="31"/>
        <v>0</v>
      </c>
      <c r="N327" s="63">
        <f t="shared" si="32"/>
        <v>0</v>
      </c>
      <c r="O327" s="46">
        <f t="shared" si="33"/>
        <v>0</v>
      </c>
    </row>
    <row r="328" spans="1:15">
      <c r="A328" s="49" t="s">
        <v>885</v>
      </c>
      <c r="B328" s="49" t="s">
        <v>886</v>
      </c>
      <c r="J328" s="57">
        <f t="shared" si="28"/>
        <v>0</v>
      </c>
      <c r="K328" s="59">
        <f t="shared" si="29"/>
        <v>0</v>
      </c>
      <c r="L328" s="45">
        <f t="shared" si="30"/>
        <v>0</v>
      </c>
      <c r="M328" s="61">
        <f t="shared" si="31"/>
        <v>0</v>
      </c>
      <c r="N328" s="63">
        <f t="shared" si="32"/>
        <v>0</v>
      </c>
      <c r="O328" s="46">
        <f t="shared" si="33"/>
        <v>0</v>
      </c>
    </row>
    <row r="329" spans="1:15">
      <c r="A329" s="49" t="s">
        <v>885</v>
      </c>
      <c r="B329" s="49" t="s">
        <v>886</v>
      </c>
      <c r="J329" s="57">
        <f t="shared" si="28"/>
        <v>0</v>
      </c>
      <c r="K329" s="59">
        <f t="shared" si="29"/>
        <v>0</v>
      </c>
      <c r="L329" s="45">
        <f t="shared" si="30"/>
        <v>0</v>
      </c>
      <c r="M329" s="61">
        <f t="shared" si="31"/>
        <v>0</v>
      </c>
      <c r="N329" s="63">
        <f t="shared" si="32"/>
        <v>0</v>
      </c>
      <c r="O329" s="46">
        <f t="shared" si="33"/>
        <v>0</v>
      </c>
    </row>
    <row r="330" spans="1:15">
      <c r="A330" s="49" t="s">
        <v>885</v>
      </c>
      <c r="B330" s="49" t="s">
        <v>886</v>
      </c>
      <c r="J330" s="57">
        <f t="shared" si="28"/>
        <v>0</v>
      </c>
      <c r="K330" s="59">
        <f t="shared" si="29"/>
        <v>0</v>
      </c>
      <c r="L330" s="45">
        <f t="shared" si="30"/>
        <v>0</v>
      </c>
      <c r="M330" s="61">
        <f t="shared" si="31"/>
        <v>0</v>
      </c>
      <c r="N330" s="63">
        <f t="shared" si="32"/>
        <v>0</v>
      </c>
      <c r="O330" s="46">
        <f t="shared" si="33"/>
        <v>0</v>
      </c>
    </row>
    <row r="331" spans="1:15">
      <c r="A331" s="49" t="s">
        <v>885</v>
      </c>
      <c r="B331" s="49" t="s">
        <v>885</v>
      </c>
      <c r="J331" s="57">
        <f t="shared" si="28"/>
        <v>0</v>
      </c>
      <c r="K331" s="59">
        <f t="shared" si="29"/>
        <v>0</v>
      </c>
      <c r="L331" s="45">
        <f t="shared" si="30"/>
        <v>0</v>
      </c>
      <c r="M331" s="61">
        <f t="shared" si="31"/>
        <v>0</v>
      </c>
      <c r="N331" s="63">
        <f t="shared" si="32"/>
        <v>0</v>
      </c>
      <c r="O331" s="46">
        <f t="shared" si="33"/>
        <v>0</v>
      </c>
    </row>
    <row r="332" spans="1:15">
      <c r="A332" s="49" t="s">
        <v>885</v>
      </c>
      <c r="B332" s="49" t="s">
        <v>886</v>
      </c>
      <c r="J332" s="57">
        <f t="shared" si="28"/>
        <v>0</v>
      </c>
      <c r="K332" s="59">
        <f t="shared" si="29"/>
        <v>0</v>
      </c>
      <c r="L332" s="45">
        <f t="shared" si="30"/>
        <v>0</v>
      </c>
      <c r="M332" s="61">
        <f t="shared" si="31"/>
        <v>0</v>
      </c>
      <c r="N332" s="63">
        <f t="shared" si="32"/>
        <v>0</v>
      </c>
      <c r="O332" s="46">
        <f t="shared" si="33"/>
        <v>0</v>
      </c>
    </row>
    <row r="333" spans="1:15">
      <c r="A333" s="49" t="s">
        <v>885</v>
      </c>
      <c r="B333" s="49" t="s">
        <v>886</v>
      </c>
      <c r="J333" s="57">
        <f t="shared" si="28"/>
        <v>0</v>
      </c>
      <c r="K333" s="59">
        <f t="shared" si="29"/>
        <v>0</v>
      </c>
      <c r="L333" s="45">
        <f t="shared" si="30"/>
        <v>0</v>
      </c>
      <c r="M333" s="61">
        <f t="shared" si="31"/>
        <v>0</v>
      </c>
      <c r="N333" s="63">
        <f t="shared" si="32"/>
        <v>0</v>
      </c>
      <c r="O333" s="46">
        <f t="shared" si="33"/>
        <v>0</v>
      </c>
    </row>
    <row r="334" spans="1:15">
      <c r="A334" s="49" t="s">
        <v>885</v>
      </c>
      <c r="B334" s="49" t="s">
        <v>886</v>
      </c>
      <c r="J334" s="57">
        <f t="shared" si="28"/>
        <v>0</v>
      </c>
      <c r="K334" s="59">
        <f t="shared" si="29"/>
        <v>0</v>
      </c>
      <c r="L334" s="45">
        <f t="shared" si="30"/>
        <v>0</v>
      </c>
      <c r="M334" s="61">
        <f t="shared" si="31"/>
        <v>0</v>
      </c>
      <c r="N334" s="63">
        <f t="shared" si="32"/>
        <v>0</v>
      </c>
      <c r="O334" s="46">
        <f t="shared" si="33"/>
        <v>0</v>
      </c>
    </row>
    <row r="335" spans="1:15">
      <c r="A335" s="49" t="s">
        <v>885</v>
      </c>
      <c r="B335" s="49" t="s">
        <v>886</v>
      </c>
      <c r="J335" s="57">
        <f t="shared" si="28"/>
        <v>0</v>
      </c>
      <c r="K335" s="59">
        <f t="shared" si="29"/>
        <v>0</v>
      </c>
      <c r="L335" s="45">
        <f t="shared" si="30"/>
        <v>0</v>
      </c>
      <c r="M335" s="61">
        <f t="shared" si="31"/>
        <v>0</v>
      </c>
      <c r="N335" s="63">
        <f t="shared" si="32"/>
        <v>0</v>
      </c>
      <c r="O335" s="46">
        <f t="shared" si="33"/>
        <v>0</v>
      </c>
    </row>
    <row r="336" spans="1:15">
      <c r="A336" s="49" t="s">
        <v>885</v>
      </c>
      <c r="B336" s="49" t="s">
        <v>886</v>
      </c>
      <c r="J336" s="57">
        <f t="shared" ref="J336:J354" si="34">IF($A336="No",0,IF(ISBLANK($D336)=FALSE,CONCATENATE(,$C$2," ",$J$2," ",$C336," ",$D336),0))</f>
        <v>0</v>
      </c>
      <c r="K336" s="59">
        <f t="shared" ref="K336:K354" si="35">IF($J336=0,0,IF(ISBLANK($F336)=FALSE,CONCATENATE(,$C$2," ",$J$2," ",$C336,$E336," ",$F336),0))</f>
        <v>0</v>
      </c>
      <c r="L336" s="45">
        <f t="shared" ref="L336:L354" si="36">IF($K336=0,0,IF(ISBLANK($F336)=FALSE,CONCATENATE(,$C$2," ",$J$2," ",$C336,$E336,,"-",$G336,," ",$H336),0))</f>
        <v>0</v>
      </c>
      <c r="M336" s="61">
        <f t="shared" ref="M336:M353" si="37">IF($B336="No",0,IF(ISBLANK($D336)=FALSE,CONCATENATE(,$C$2," ",$M$2," ",$C336," ",$D336),0))</f>
        <v>0</v>
      </c>
      <c r="N336" s="63">
        <f t="shared" ref="N336:N354" si="38">IF(M336=0,0,IF(ISBLANK($F336)=FALSE,CONCATENATE(,$C$2," ",$M$2," ",$C336,$E336," ",$F336),0))</f>
        <v>0</v>
      </c>
      <c r="O336" s="46">
        <f t="shared" ref="O336:O354" si="39">IF(N336=0,0,IF(ISBLANK($F336)=FALSE,CONCATENATE(,$C$2," ",$M$2," ",$C336,$E336,,"-",$G336,," ",$H336),0))</f>
        <v>0</v>
      </c>
    </row>
    <row r="337" spans="1:15">
      <c r="A337" s="49" t="s">
        <v>885</v>
      </c>
      <c r="B337" s="49" t="s">
        <v>886</v>
      </c>
      <c r="J337" s="57">
        <f t="shared" si="34"/>
        <v>0</v>
      </c>
      <c r="K337" s="59">
        <f t="shared" si="35"/>
        <v>0</v>
      </c>
      <c r="L337" s="45">
        <f t="shared" si="36"/>
        <v>0</v>
      </c>
      <c r="M337" s="61">
        <f t="shared" si="37"/>
        <v>0</v>
      </c>
      <c r="N337" s="63">
        <f t="shared" si="38"/>
        <v>0</v>
      </c>
      <c r="O337" s="46">
        <f t="shared" si="39"/>
        <v>0</v>
      </c>
    </row>
    <row r="338" spans="1:15">
      <c r="A338" s="49" t="s">
        <v>885</v>
      </c>
      <c r="B338" s="49" t="s">
        <v>886</v>
      </c>
      <c r="J338" s="57">
        <f t="shared" si="34"/>
        <v>0</v>
      </c>
      <c r="K338" s="59">
        <f t="shared" si="35"/>
        <v>0</v>
      </c>
      <c r="L338" s="45">
        <f t="shared" si="36"/>
        <v>0</v>
      </c>
      <c r="M338" s="61">
        <f t="shared" si="37"/>
        <v>0</v>
      </c>
      <c r="N338" s="63">
        <f t="shared" si="38"/>
        <v>0</v>
      </c>
      <c r="O338" s="46">
        <f t="shared" si="39"/>
        <v>0</v>
      </c>
    </row>
    <row r="339" spans="1:15">
      <c r="A339" s="49" t="s">
        <v>885</v>
      </c>
      <c r="B339" s="49" t="s">
        <v>885</v>
      </c>
      <c r="J339" s="57">
        <f t="shared" si="34"/>
        <v>0</v>
      </c>
      <c r="K339" s="59">
        <f t="shared" si="35"/>
        <v>0</v>
      </c>
      <c r="L339" s="45">
        <f t="shared" si="36"/>
        <v>0</v>
      </c>
      <c r="M339" s="61">
        <f t="shared" si="37"/>
        <v>0</v>
      </c>
      <c r="N339" s="63">
        <f t="shared" si="38"/>
        <v>0</v>
      </c>
      <c r="O339" s="46">
        <f t="shared" si="39"/>
        <v>0</v>
      </c>
    </row>
    <row r="340" spans="1:15">
      <c r="A340" s="49" t="s">
        <v>885</v>
      </c>
      <c r="B340" s="49" t="s">
        <v>885</v>
      </c>
      <c r="J340" s="57">
        <f t="shared" si="34"/>
        <v>0</v>
      </c>
      <c r="K340" s="59">
        <f t="shared" si="35"/>
        <v>0</v>
      </c>
      <c r="L340" s="45">
        <f t="shared" si="36"/>
        <v>0</v>
      </c>
      <c r="M340" s="61">
        <f t="shared" si="37"/>
        <v>0</v>
      </c>
      <c r="N340" s="63">
        <f t="shared" si="38"/>
        <v>0</v>
      </c>
      <c r="O340" s="46">
        <f t="shared" si="39"/>
        <v>0</v>
      </c>
    </row>
    <row r="341" spans="1:15">
      <c r="A341" s="49" t="s">
        <v>885</v>
      </c>
      <c r="B341" s="49" t="s">
        <v>885</v>
      </c>
      <c r="J341" s="57">
        <f t="shared" si="34"/>
        <v>0</v>
      </c>
      <c r="K341" s="59">
        <f t="shared" si="35"/>
        <v>0</v>
      </c>
      <c r="L341" s="45">
        <f t="shared" si="36"/>
        <v>0</v>
      </c>
      <c r="M341" s="61">
        <f t="shared" si="37"/>
        <v>0</v>
      </c>
      <c r="N341" s="63">
        <f t="shared" si="38"/>
        <v>0</v>
      </c>
      <c r="O341" s="46">
        <f t="shared" si="39"/>
        <v>0</v>
      </c>
    </row>
    <row r="342" spans="1:15">
      <c r="A342" s="49" t="s">
        <v>885</v>
      </c>
      <c r="B342" s="49" t="s">
        <v>886</v>
      </c>
      <c r="J342" s="57">
        <f t="shared" si="34"/>
        <v>0</v>
      </c>
      <c r="K342" s="59">
        <f t="shared" si="35"/>
        <v>0</v>
      </c>
      <c r="L342" s="45">
        <f t="shared" si="36"/>
        <v>0</v>
      </c>
      <c r="M342" s="61">
        <f t="shared" si="37"/>
        <v>0</v>
      </c>
      <c r="N342" s="63">
        <f t="shared" si="38"/>
        <v>0</v>
      </c>
      <c r="O342" s="46">
        <f t="shared" si="39"/>
        <v>0</v>
      </c>
    </row>
    <row r="343" spans="1:15">
      <c r="A343" s="49" t="s">
        <v>885</v>
      </c>
      <c r="B343" s="49" t="s">
        <v>886</v>
      </c>
      <c r="J343" s="57">
        <f t="shared" si="34"/>
        <v>0</v>
      </c>
      <c r="K343" s="59">
        <f t="shared" si="35"/>
        <v>0</v>
      </c>
      <c r="L343" s="45">
        <f t="shared" si="36"/>
        <v>0</v>
      </c>
      <c r="M343" s="61">
        <f t="shared" si="37"/>
        <v>0</v>
      </c>
      <c r="N343" s="63">
        <f t="shared" si="38"/>
        <v>0</v>
      </c>
      <c r="O343" s="46">
        <f t="shared" si="39"/>
        <v>0</v>
      </c>
    </row>
    <row r="344" spans="1:15">
      <c r="A344" s="49" t="s">
        <v>885</v>
      </c>
      <c r="B344" s="49" t="s">
        <v>886</v>
      </c>
      <c r="J344" s="57">
        <f t="shared" si="34"/>
        <v>0</v>
      </c>
      <c r="K344" s="59">
        <f t="shared" si="35"/>
        <v>0</v>
      </c>
      <c r="L344" s="45">
        <f t="shared" si="36"/>
        <v>0</v>
      </c>
      <c r="M344" s="61">
        <f t="shared" si="37"/>
        <v>0</v>
      </c>
      <c r="N344" s="63">
        <f t="shared" si="38"/>
        <v>0</v>
      </c>
      <c r="O344" s="46">
        <f t="shared" si="39"/>
        <v>0</v>
      </c>
    </row>
    <row r="345" spans="1:15">
      <c r="A345" s="49" t="s">
        <v>885</v>
      </c>
      <c r="B345" s="49" t="s">
        <v>886</v>
      </c>
      <c r="J345" s="57">
        <f t="shared" si="34"/>
        <v>0</v>
      </c>
      <c r="K345" s="59">
        <f t="shared" si="35"/>
        <v>0</v>
      </c>
      <c r="L345" s="45">
        <f t="shared" si="36"/>
        <v>0</v>
      </c>
      <c r="M345" s="61">
        <f t="shared" si="37"/>
        <v>0</v>
      </c>
      <c r="N345" s="63">
        <f t="shared" si="38"/>
        <v>0</v>
      </c>
      <c r="O345" s="46">
        <f t="shared" si="39"/>
        <v>0</v>
      </c>
    </row>
    <row r="346" spans="1:15">
      <c r="J346" s="57">
        <f t="shared" si="34"/>
        <v>0</v>
      </c>
      <c r="K346" s="59">
        <f t="shared" si="35"/>
        <v>0</v>
      </c>
      <c r="L346" s="45">
        <f t="shared" si="36"/>
        <v>0</v>
      </c>
      <c r="M346" s="61">
        <f t="shared" si="37"/>
        <v>0</v>
      </c>
      <c r="N346" s="63">
        <f t="shared" si="38"/>
        <v>0</v>
      </c>
      <c r="O346" s="46">
        <f t="shared" si="39"/>
        <v>0</v>
      </c>
    </row>
    <row r="347" spans="1:15">
      <c r="J347" s="57">
        <f t="shared" si="34"/>
        <v>0</v>
      </c>
      <c r="K347" s="59">
        <f t="shared" si="35"/>
        <v>0</v>
      </c>
      <c r="L347" s="45">
        <f t="shared" si="36"/>
        <v>0</v>
      </c>
      <c r="M347" s="61">
        <f t="shared" si="37"/>
        <v>0</v>
      </c>
      <c r="N347" s="63">
        <f t="shared" si="38"/>
        <v>0</v>
      </c>
      <c r="O347" s="46">
        <f t="shared" si="39"/>
        <v>0</v>
      </c>
    </row>
    <row r="348" spans="1:15">
      <c r="J348" s="57">
        <f t="shared" si="34"/>
        <v>0</v>
      </c>
      <c r="K348" s="59">
        <f t="shared" si="35"/>
        <v>0</v>
      </c>
      <c r="L348" s="45">
        <f t="shared" si="36"/>
        <v>0</v>
      </c>
      <c r="M348" s="61">
        <f t="shared" si="37"/>
        <v>0</v>
      </c>
      <c r="N348" s="63">
        <f t="shared" si="38"/>
        <v>0</v>
      </c>
      <c r="O348" s="46">
        <f t="shared" si="39"/>
        <v>0</v>
      </c>
    </row>
    <row r="349" spans="1:15">
      <c r="J349" s="57">
        <f t="shared" si="34"/>
        <v>0</v>
      </c>
      <c r="K349" s="59">
        <f t="shared" si="35"/>
        <v>0</v>
      </c>
      <c r="L349" s="45">
        <f t="shared" si="36"/>
        <v>0</v>
      </c>
      <c r="M349" s="61">
        <f t="shared" si="37"/>
        <v>0</v>
      </c>
      <c r="N349" s="63">
        <f t="shared" si="38"/>
        <v>0</v>
      </c>
      <c r="O349" s="46">
        <f t="shared" si="39"/>
        <v>0</v>
      </c>
    </row>
    <row r="350" spans="1:15">
      <c r="J350" s="57">
        <f t="shared" si="34"/>
        <v>0</v>
      </c>
      <c r="K350" s="59">
        <f t="shared" si="35"/>
        <v>0</v>
      </c>
      <c r="L350" s="45">
        <f t="shared" si="36"/>
        <v>0</v>
      </c>
      <c r="M350" s="61">
        <f t="shared" si="37"/>
        <v>0</v>
      </c>
      <c r="N350" s="63">
        <f t="shared" si="38"/>
        <v>0</v>
      </c>
      <c r="O350" s="46">
        <f t="shared" si="39"/>
        <v>0</v>
      </c>
    </row>
    <row r="351" spans="1:15">
      <c r="J351" s="57">
        <f t="shared" si="34"/>
        <v>0</v>
      </c>
      <c r="K351" s="59">
        <f t="shared" si="35"/>
        <v>0</v>
      </c>
      <c r="L351" s="45">
        <f t="shared" si="36"/>
        <v>0</v>
      </c>
      <c r="M351" s="61">
        <f t="shared" si="37"/>
        <v>0</v>
      </c>
      <c r="N351" s="63">
        <f t="shared" si="38"/>
        <v>0</v>
      </c>
      <c r="O351" s="46">
        <f t="shared" si="39"/>
        <v>0</v>
      </c>
    </row>
    <row r="352" spans="1:15">
      <c r="J352" s="57">
        <f t="shared" si="34"/>
        <v>0</v>
      </c>
      <c r="K352" s="59">
        <f t="shared" si="35"/>
        <v>0</v>
      </c>
      <c r="L352" s="45">
        <f t="shared" si="36"/>
        <v>0</v>
      </c>
      <c r="M352" s="61">
        <f t="shared" si="37"/>
        <v>0</v>
      </c>
      <c r="N352" s="63">
        <f t="shared" si="38"/>
        <v>0</v>
      </c>
      <c r="O352" s="46">
        <f t="shared" si="39"/>
        <v>0</v>
      </c>
    </row>
    <row r="353" spans="10:15">
      <c r="J353" s="57">
        <f t="shared" si="34"/>
        <v>0</v>
      </c>
      <c r="K353" s="59">
        <f t="shared" si="35"/>
        <v>0</v>
      </c>
      <c r="L353" s="45">
        <f t="shared" si="36"/>
        <v>0</v>
      </c>
      <c r="M353" s="61">
        <f t="shared" si="37"/>
        <v>0</v>
      </c>
      <c r="N353" s="63">
        <f t="shared" si="38"/>
        <v>0</v>
      </c>
      <c r="O353" s="46">
        <f t="shared" si="39"/>
        <v>0</v>
      </c>
    </row>
    <row r="354" spans="10:15">
      <c r="J354" s="57">
        <f t="shared" si="34"/>
        <v>0</v>
      </c>
      <c r="K354" s="59">
        <f t="shared" si="35"/>
        <v>0</v>
      </c>
      <c r="L354" s="45">
        <f t="shared" si="36"/>
        <v>0</v>
      </c>
      <c r="M354" s="61">
        <f>IF($B354="No",0,IF(ISBLANK($D354)=FALSE,CONCATENATE(,$C$2," ",$M$2," ",$C354," ",$D354),0))</f>
        <v>0</v>
      </c>
      <c r="N354" s="63">
        <f t="shared" si="38"/>
        <v>0</v>
      </c>
      <c r="O354" s="46">
        <f t="shared" si="39"/>
        <v>0</v>
      </c>
    </row>
  </sheetData>
  <mergeCells count="15">
    <mergeCell ref="K4:K5"/>
    <mergeCell ref="L4:L5"/>
    <mergeCell ref="M4:M5"/>
    <mergeCell ref="N4:N5"/>
    <mergeCell ref="O4:O5"/>
    <mergeCell ref="J2:L2"/>
    <mergeCell ref="M2:O2"/>
    <mergeCell ref="C3:I3"/>
    <mergeCell ref="J3:L3"/>
    <mergeCell ref="M3:O3"/>
    <mergeCell ref="A4:B4"/>
    <mergeCell ref="C4:D4"/>
    <mergeCell ref="E4:F4"/>
    <mergeCell ref="G4:H4"/>
    <mergeCell ref="J4:J5"/>
  </mergeCell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Masters!$E$4:$E$5</xm:f>
          </x14:formula1>
          <xm:sqref>A6:B345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Outflow</vt:lpstr>
      <vt:lpstr>Masters</vt:lpstr>
      <vt:lpstr>Master Sheet for Building</vt:lpstr>
      <vt:lpstr>Master Sheet For Common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Sayyed</dc:creator>
  <cp:lastModifiedBy>HP</cp:lastModifiedBy>
  <dcterms:created xsi:type="dcterms:W3CDTF">2026-05-15T09:34:01Z</dcterms:created>
  <dcterms:modified xsi:type="dcterms:W3CDTF">2026-07-09T09:56:35Z</dcterms:modified>
</cp:coreProperties>
</file>