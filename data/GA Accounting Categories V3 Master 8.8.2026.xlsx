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sjyassociates-my.sharepoint.com/personal/zubair_sjya_in/Documents/1.Clients Data/1.Business Clients/S007-Shah Amar/F002-Property Anthem Developement (Cashflow)/New folder/5-07-2026/"/>
    </mc:Choice>
  </mc:AlternateContent>
  <xr:revisionPtr revIDLastSave="135" documentId="13_ncr:1_{F2013A12-DB60-4FC3-8092-52DD8B4AE631}" xr6:coauthVersionLast="47" xr6:coauthVersionMax="47" xr10:uidLastSave="{EF128734-7128-6A42-858B-4114EE59ED02}"/>
  <bookViews>
    <workbookView xWindow="0" yWindow="0" windowWidth="28800" windowHeight="18000" activeTab="1" xr2:uid="{A6F0E596-9791-4546-B236-229A1F784769}"/>
  </bookViews>
  <sheets>
    <sheet name="Masters" sheetId="4" state="hidden" r:id="rId1"/>
    <sheet name="Master Sheet for Building" sheetId="3" r:id="rId2"/>
    <sheet name="Master Sheet For Common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7" i="5" l="1"/>
  <c r="K267" i="5" s="1"/>
  <c r="L267" i="5" s="1"/>
  <c r="M267" i="5"/>
  <c r="N267" i="5" s="1"/>
  <c r="O267" i="5" s="1"/>
  <c r="J266" i="5"/>
  <c r="K266" i="5" s="1"/>
  <c r="L266" i="5" s="1"/>
  <c r="M266" i="5"/>
  <c r="N266" i="5" s="1"/>
  <c r="O266" i="5" s="1"/>
  <c r="J257" i="5"/>
  <c r="K257" i="5" s="1"/>
  <c r="L257" i="5" s="1"/>
  <c r="J258" i="5"/>
  <c r="K258" i="5" s="1"/>
  <c r="L258" i="5" s="1"/>
  <c r="J259" i="5"/>
  <c r="K259" i="5" s="1"/>
  <c r="L259" i="5" s="1"/>
  <c r="J260" i="5"/>
  <c r="K260" i="5" s="1"/>
  <c r="L260" i="5" s="1"/>
  <c r="J261" i="5"/>
  <c r="K261" i="5" s="1"/>
  <c r="L261" i="5" s="1"/>
  <c r="J256" i="5"/>
  <c r="K256" i="5" s="1"/>
  <c r="L256" i="5" s="1"/>
  <c r="M256" i="5"/>
  <c r="N256" i="5" s="1"/>
  <c r="O256" i="5" s="1"/>
  <c r="M257" i="5"/>
  <c r="N257" i="5" s="1"/>
  <c r="O257" i="5" s="1"/>
  <c r="M258" i="5"/>
  <c r="N258" i="5" s="1"/>
  <c r="O258" i="5" s="1"/>
  <c r="M259" i="5"/>
  <c r="N259" i="5" s="1"/>
  <c r="O259" i="5" s="1"/>
  <c r="M260" i="5"/>
  <c r="N260" i="5" s="1"/>
  <c r="O260" i="5" s="1"/>
  <c r="M261" i="5"/>
  <c r="N261" i="5" s="1"/>
  <c r="O261" i="5" s="1"/>
  <c r="J262" i="5"/>
  <c r="K262" i="5" s="1"/>
  <c r="L262" i="5" s="1"/>
  <c r="M262" i="5"/>
  <c r="N262" i="5" s="1"/>
  <c r="O262" i="5" s="1"/>
  <c r="J263" i="5"/>
  <c r="K263" i="5" s="1"/>
  <c r="L263" i="5" s="1"/>
  <c r="M263" i="5"/>
  <c r="N263" i="5" s="1"/>
  <c r="O263" i="5" s="1"/>
  <c r="J269" i="5"/>
  <c r="K269" i="5" s="1"/>
  <c r="L269" i="5" s="1"/>
  <c r="M269" i="5"/>
  <c r="N269" i="5" s="1"/>
  <c r="O269" i="5" s="1"/>
  <c r="J197" i="5"/>
  <c r="K197" i="5" s="1"/>
  <c r="L197" i="5" s="1"/>
  <c r="M197" i="5"/>
  <c r="N197" i="5" s="1"/>
  <c r="O197" i="5" s="1"/>
  <c r="J198" i="5"/>
  <c r="K198" i="5" s="1"/>
  <c r="L198" i="5" s="1"/>
  <c r="M198" i="5"/>
  <c r="N198" i="5" s="1"/>
  <c r="O198" i="5" s="1"/>
  <c r="J199" i="5"/>
  <c r="K199" i="5" s="1"/>
  <c r="L199" i="5" s="1"/>
  <c r="M199" i="5"/>
  <c r="N199" i="5" s="1"/>
  <c r="O199" i="5" s="1"/>
  <c r="J200" i="5"/>
  <c r="K200" i="5" s="1"/>
  <c r="L200" i="5" s="1"/>
  <c r="M200" i="5"/>
  <c r="N200" i="5" s="1"/>
  <c r="O200" i="5" s="1"/>
  <c r="J201" i="5"/>
  <c r="K201" i="5" s="1"/>
  <c r="L201" i="5" s="1"/>
  <c r="M201" i="5"/>
  <c r="N201" i="5" s="1"/>
  <c r="O201" i="5" s="1"/>
  <c r="J202" i="5"/>
  <c r="K202" i="5" s="1"/>
  <c r="L202" i="5" s="1"/>
  <c r="M202" i="5"/>
  <c r="N202" i="5" s="1"/>
  <c r="O202" i="5" s="1"/>
  <c r="J165" i="5"/>
  <c r="K165" i="5" s="1"/>
  <c r="L165" i="5" s="1"/>
  <c r="M165" i="5"/>
  <c r="N165" i="5" s="1"/>
  <c r="O165" i="5" s="1"/>
  <c r="M152" i="5"/>
  <c r="N152" i="5" s="1"/>
  <c r="O152" i="5" s="1"/>
  <c r="J152" i="5"/>
  <c r="K152" i="5" s="1"/>
  <c r="L152" i="5" s="1"/>
  <c r="J147" i="5"/>
  <c r="K147" i="5" s="1"/>
  <c r="L147" i="5" s="1"/>
  <c r="M147" i="5"/>
  <c r="N147" i="5" s="1"/>
  <c r="O147" i="5" s="1"/>
  <c r="J145" i="5"/>
  <c r="K145" i="5" s="1"/>
  <c r="L145" i="5" s="1"/>
  <c r="M145" i="5"/>
  <c r="N145" i="5" s="1"/>
  <c r="O145" i="5" s="1"/>
  <c r="J92" i="3"/>
  <c r="K92" i="3" s="1"/>
  <c r="L92" i="3" s="1"/>
  <c r="M92" i="3"/>
  <c r="N92" i="3" s="1"/>
  <c r="O92" i="3" s="1"/>
  <c r="J91" i="3"/>
  <c r="K91" i="3" s="1"/>
  <c r="L91" i="3" s="1"/>
  <c r="M91" i="3"/>
  <c r="N91" i="3" s="1"/>
  <c r="O91" i="3" s="1"/>
  <c r="J86" i="3"/>
  <c r="K86" i="3" s="1"/>
  <c r="L86" i="3" s="1"/>
  <c r="M86" i="3"/>
  <c r="N86" i="3" s="1"/>
  <c r="O86" i="3" s="1"/>
  <c r="J184" i="5" l="1"/>
  <c r="K184" i="5" s="1"/>
  <c r="L184" i="5" s="1"/>
  <c r="M184" i="5"/>
  <c r="N184" i="5" s="1"/>
  <c r="O184" i="5" s="1"/>
  <c r="J243" i="5"/>
  <c r="K243" i="5" s="1"/>
  <c r="L243" i="5" s="1"/>
  <c r="M243" i="5"/>
  <c r="N243" i="5" s="1"/>
  <c r="O243" i="5" s="1"/>
  <c r="M40" i="3"/>
  <c r="N40" i="3" s="1"/>
  <c r="O40" i="3" s="1"/>
  <c r="J40" i="3"/>
  <c r="K40" i="3" s="1"/>
  <c r="L40" i="3" s="1"/>
  <c r="M376" i="5"/>
  <c r="M241" i="5"/>
  <c r="N241" i="5" s="1"/>
  <c r="J241" i="5"/>
  <c r="K241" i="5" s="1"/>
  <c r="M90" i="3"/>
  <c r="N90" i="3" s="1"/>
  <c r="O90" i="3" s="1"/>
  <c r="J90" i="3"/>
  <c r="K90" i="3" s="1"/>
  <c r="L90" i="3" s="1"/>
  <c r="M271" i="5"/>
  <c r="N271" i="5" s="1"/>
  <c r="O271" i="5" s="1"/>
  <c r="M270" i="5"/>
  <c r="N270" i="5" s="1"/>
  <c r="O270" i="5" s="1"/>
  <c r="M203" i="5"/>
  <c r="N203" i="5" s="1"/>
  <c r="O203" i="5" s="1"/>
  <c r="M204" i="5"/>
  <c r="N204" i="5" s="1"/>
  <c r="O204" i="5" s="1"/>
  <c r="M205" i="5"/>
  <c r="N205" i="5" s="1"/>
  <c r="O205" i="5" s="1"/>
  <c r="M206" i="5"/>
  <c r="N206" i="5" s="1"/>
  <c r="O206" i="5" s="1"/>
  <c r="J203" i="5"/>
  <c r="K203" i="5" s="1"/>
  <c r="L203" i="5" s="1"/>
  <c r="J204" i="5"/>
  <c r="K204" i="5" s="1"/>
  <c r="L204" i="5" s="1"/>
  <c r="J205" i="5"/>
  <c r="K205" i="5" s="1"/>
  <c r="L205" i="5" s="1"/>
  <c r="J196" i="5"/>
  <c r="K196" i="5" s="1"/>
  <c r="L196" i="5" s="1"/>
  <c r="M196" i="5"/>
  <c r="N196" i="5" s="1"/>
  <c r="O196" i="5" s="1"/>
  <c r="J188" i="5"/>
  <c r="K188" i="5" s="1"/>
  <c r="L188" i="5" s="1"/>
  <c r="M188" i="5"/>
  <c r="N188" i="5" s="1"/>
  <c r="O188" i="5" s="1"/>
  <c r="J89" i="3"/>
  <c r="K89" i="3" s="1"/>
  <c r="L89" i="3" s="1"/>
  <c r="M89" i="3"/>
  <c r="N89" i="3" s="1"/>
  <c r="O89" i="3" s="1"/>
  <c r="M151" i="5"/>
  <c r="N151" i="5" s="1"/>
  <c r="O151" i="5" s="1"/>
  <c r="M150" i="5"/>
  <c r="N150" i="5" s="1"/>
  <c r="O150" i="5" s="1"/>
  <c r="J151" i="5"/>
  <c r="K151" i="5" s="1"/>
  <c r="L151" i="5" s="1"/>
  <c r="J150" i="5"/>
  <c r="M55" i="3"/>
  <c r="N55" i="3" s="1"/>
  <c r="O55" i="3" s="1"/>
  <c r="J55" i="3"/>
  <c r="K55" i="3" s="1"/>
  <c r="L55" i="3" s="1"/>
  <c r="M149" i="5"/>
  <c r="J149" i="5"/>
  <c r="J210" i="5"/>
  <c r="M148" i="5"/>
  <c r="J148" i="5"/>
  <c r="M146" i="5"/>
  <c r="J146" i="5"/>
  <c r="M164" i="5"/>
  <c r="J164" i="5"/>
  <c r="M163" i="5"/>
  <c r="J163" i="5"/>
  <c r="M142" i="5"/>
  <c r="J142" i="5"/>
  <c r="M110" i="5"/>
  <c r="J110" i="5"/>
  <c r="M155" i="5"/>
  <c r="J155" i="5"/>
  <c r="J12" i="5"/>
  <c r="G232" i="5"/>
  <c r="G233" i="5" s="1"/>
  <c r="G234" i="5" s="1"/>
  <c r="G235" i="5" s="1"/>
  <c r="G236" i="5" s="1"/>
  <c r="J96" i="5"/>
  <c r="K96" i="5" s="1"/>
  <c r="L96" i="5" s="1"/>
  <c r="M96" i="5"/>
  <c r="N96" i="5" s="1"/>
  <c r="O96" i="5" s="1"/>
  <c r="J97" i="5"/>
  <c r="K97" i="5" s="1"/>
  <c r="M97" i="5"/>
  <c r="J98" i="5"/>
  <c r="M98" i="5"/>
  <c r="N98" i="5" s="1"/>
  <c r="J99" i="5"/>
  <c r="K99" i="5" s="1"/>
  <c r="M99" i="5"/>
  <c r="J100" i="5"/>
  <c r="M100" i="5"/>
  <c r="N100" i="5" s="1"/>
  <c r="J101" i="5"/>
  <c r="M101" i="5"/>
  <c r="J102" i="5"/>
  <c r="M102" i="5"/>
  <c r="N102" i="5" s="1"/>
  <c r="J103" i="5"/>
  <c r="M103" i="5"/>
  <c r="J104" i="5"/>
  <c r="M104" i="5"/>
  <c r="N104" i="5" s="1"/>
  <c r="J105" i="5"/>
  <c r="K105" i="5" s="1"/>
  <c r="L105" i="5" s="1"/>
  <c r="M105" i="5"/>
  <c r="J106" i="5"/>
  <c r="M106" i="5"/>
  <c r="N106" i="5" s="1"/>
  <c r="O106" i="5" s="1"/>
  <c r="J107" i="5"/>
  <c r="K107" i="5" s="1"/>
  <c r="L107" i="5" s="1"/>
  <c r="M107" i="5"/>
  <c r="J108" i="5"/>
  <c r="M108" i="5"/>
  <c r="N108" i="5" s="1"/>
  <c r="O108" i="5" s="1"/>
  <c r="J109" i="5"/>
  <c r="M109" i="5"/>
  <c r="J111" i="5"/>
  <c r="M111" i="5"/>
  <c r="N111" i="5" s="1"/>
  <c r="O111" i="5" s="1"/>
  <c r="J112" i="5"/>
  <c r="M112" i="5"/>
  <c r="J113" i="5"/>
  <c r="M113" i="5"/>
  <c r="N113" i="5" s="1"/>
  <c r="O113" i="5" s="1"/>
  <c r="J114" i="5"/>
  <c r="K114" i="5" s="1"/>
  <c r="L114" i="5" s="1"/>
  <c r="M114" i="5"/>
  <c r="J115" i="5"/>
  <c r="M115" i="5"/>
  <c r="N115" i="5" s="1"/>
  <c r="O115" i="5" s="1"/>
  <c r="J116" i="5"/>
  <c r="K116" i="5" s="1"/>
  <c r="L116" i="5" s="1"/>
  <c r="M116" i="5"/>
  <c r="J117" i="5"/>
  <c r="M117" i="5"/>
  <c r="N117" i="5" s="1"/>
  <c r="O117" i="5" s="1"/>
  <c r="J118" i="5"/>
  <c r="M118" i="5"/>
  <c r="J119" i="5"/>
  <c r="M119" i="5"/>
  <c r="N119" i="5" s="1"/>
  <c r="O119" i="5" s="1"/>
  <c r="J120" i="5"/>
  <c r="M120" i="5"/>
  <c r="J121" i="5"/>
  <c r="M121" i="5"/>
  <c r="N121" i="5" s="1"/>
  <c r="O121" i="5" s="1"/>
  <c r="J122" i="5"/>
  <c r="K122" i="5" s="1"/>
  <c r="L122" i="5" s="1"/>
  <c r="M122" i="5"/>
  <c r="J123" i="5"/>
  <c r="M123" i="5"/>
  <c r="N123" i="5" s="1"/>
  <c r="O123" i="5" s="1"/>
  <c r="J124" i="5"/>
  <c r="K124" i="5" s="1"/>
  <c r="L124" i="5" s="1"/>
  <c r="M124" i="5"/>
  <c r="J125" i="5"/>
  <c r="M125" i="5"/>
  <c r="N125" i="5" s="1"/>
  <c r="O125" i="5" s="1"/>
  <c r="J126" i="5"/>
  <c r="M126" i="5"/>
  <c r="J127" i="5"/>
  <c r="M127" i="5"/>
  <c r="N127" i="5" s="1"/>
  <c r="O127" i="5" s="1"/>
  <c r="J128" i="5"/>
  <c r="M128" i="5"/>
  <c r="J129" i="5"/>
  <c r="M129" i="5"/>
  <c r="N129" i="5" s="1"/>
  <c r="O129" i="5" s="1"/>
  <c r="J130" i="5"/>
  <c r="K130" i="5" s="1"/>
  <c r="L130" i="5" s="1"/>
  <c r="M130" i="5"/>
  <c r="J131" i="5"/>
  <c r="M131" i="5"/>
  <c r="N131" i="5" s="1"/>
  <c r="O131" i="5" s="1"/>
  <c r="J132" i="5"/>
  <c r="K132" i="5" s="1"/>
  <c r="L132" i="5" s="1"/>
  <c r="M132" i="5"/>
  <c r="J133" i="5"/>
  <c r="M133" i="5"/>
  <c r="N133" i="5" s="1"/>
  <c r="O133" i="5" s="1"/>
  <c r="J134" i="5"/>
  <c r="M134" i="5"/>
  <c r="J135" i="5"/>
  <c r="M135" i="5"/>
  <c r="N135" i="5" s="1"/>
  <c r="O135" i="5" s="1"/>
  <c r="J136" i="5"/>
  <c r="M136" i="5"/>
  <c r="J137" i="5"/>
  <c r="M137" i="5"/>
  <c r="N137" i="5" s="1"/>
  <c r="O137" i="5" s="1"/>
  <c r="J138" i="5"/>
  <c r="K138" i="5" s="1"/>
  <c r="L138" i="5" s="1"/>
  <c r="M138" i="5"/>
  <c r="J139" i="5"/>
  <c r="M139" i="5"/>
  <c r="N139" i="5" s="1"/>
  <c r="O139" i="5" s="1"/>
  <c r="J140" i="5"/>
  <c r="K140" i="5" s="1"/>
  <c r="L140" i="5" s="1"/>
  <c r="M140" i="5"/>
  <c r="J141" i="5"/>
  <c r="M141" i="5"/>
  <c r="N141" i="5" s="1"/>
  <c r="O141" i="5" s="1"/>
  <c r="J143" i="5"/>
  <c r="M143" i="5"/>
  <c r="J144" i="5"/>
  <c r="M144" i="5"/>
  <c r="N144" i="5" s="1"/>
  <c r="O144" i="5" s="1"/>
  <c r="J153" i="5"/>
  <c r="M153" i="5"/>
  <c r="N153" i="5" s="1"/>
  <c r="O153" i="5" s="1"/>
  <c r="J154" i="5"/>
  <c r="K154" i="5" s="1"/>
  <c r="L154" i="5" s="1"/>
  <c r="M154" i="5"/>
  <c r="J156" i="5"/>
  <c r="K156" i="5" s="1"/>
  <c r="L156" i="5" s="1"/>
  <c r="M156" i="5"/>
  <c r="J157" i="5"/>
  <c r="M157" i="5"/>
  <c r="N157" i="5" s="1"/>
  <c r="O157" i="5" s="1"/>
  <c r="J158" i="5"/>
  <c r="M158" i="5"/>
  <c r="J159" i="5"/>
  <c r="M159" i="5"/>
  <c r="N159" i="5" s="1"/>
  <c r="O159" i="5" s="1"/>
  <c r="J160" i="5"/>
  <c r="M160" i="5"/>
  <c r="J161" i="5"/>
  <c r="K161" i="5" s="1"/>
  <c r="L161" i="5" s="1"/>
  <c r="M161" i="5"/>
  <c r="N161" i="5" s="1"/>
  <c r="O161" i="5" s="1"/>
  <c r="J162" i="5"/>
  <c r="M162" i="5"/>
  <c r="J166" i="5"/>
  <c r="K166" i="5" s="1"/>
  <c r="L166" i="5" s="1"/>
  <c r="M166" i="5"/>
  <c r="N166" i="5" s="1"/>
  <c r="O166" i="5" s="1"/>
  <c r="J167" i="5"/>
  <c r="K167" i="5" s="1"/>
  <c r="L167" i="5" s="1"/>
  <c r="M167" i="5"/>
  <c r="J168" i="5"/>
  <c r="K168" i="5" s="1"/>
  <c r="L168" i="5" s="1"/>
  <c r="M168" i="5"/>
  <c r="N168" i="5" s="1"/>
  <c r="O168" i="5" s="1"/>
  <c r="J169" i="5"/>
  <c r="M169" i="5"/>
  <c r="J170" i="5"/>
  <c r="K170" i="5" s="1"/>
  <c r="L170" i="5" s="1"/>
  <c r="M170" i="5"/>
  <c r="N170" i="5" s="1"/>
  <c r="O170" i="5" s="1"/>
  <c r="J171" i="5"/>
  <c r="M171" i="5"/>
  <c r="J172" i="5"/>
  <c r="K172" i="5" s="1"/>
  <c r="L172" i="5" s="1"/>
  <c r="M172" i="5"/>
  <c r="N172" i="5" s="1"/>
  <c r="O172" i="5" s="1"/>
  <c r="J173" i="5"/>
  <c r="K173" i="5" s="1"/>
  <c r="L173" i="5" s="1"/>
  <c r="M173" i="5"/>
  <c r="J174" i="5"/>
  <c r="K174" i="5" s="1"/>
  <c r="L174" i="5" s="1"/>
  <c r="M174" i="5"/>
  <c r="N174" i="5" s="1"/>
  <c r="O174" i="5" s="1"/>
  <c r="J175" i="5"/>
  <c r="K175" i="5" s="1"/>
  <c r="M175" i="5"/>
  <c r="J176" i="5"/>
  <c r="K176" i="5" s="1"/>
  <c r="L176" i="5" s="1"/>
  <c r="M176" i="5"/>
  <c r="N176" i="5" s="1"/>
  <c r="O176" i="5" s="1"/>
  <c r="J177" i="5"/>
  <c r="M177" i="5"/>
  <c r="J178" i="5"/>
  <c r="K178" i="5" s="1"/>
  <c r="L178" i="5" s="1"/>
  <c r="M178" i="5"/>
  <c r="N178" i="5" s="1"/>
  <c r="O178" i="5" s="1"/>
  <c r="J179" i="5"/>
  <c r="M179" i="5"/>
  <c r="J180" i="5"/>
  <c r="K180" i="5" s="1"/>
  <c r="L180" i="5" s="1"/>
  <c r="M180" i="5"/>
  <c r="N180" i="5" s="1"/>
  <c r="O180" i="5" s="1"/>
  <c r="J181" i="5"/>
  <c r="K181" i="5" s="1"/>
  <c r="L181" i="5" s="1"/>
  <c r="M181" i="5"/>
  <c r="N181" i="5" s="1"/>
  <c r="O181" i="5" s="1"/>
  <c r="J182" i="5"/>
  <c r="K182" i="5" s="1"/>
  <c r="L182" i="5" s="1"/>
  <c r="M182" i="5"/>
  <c r="N182" i="5" s="1"/>
  <c r="O182" i="5" s="1"/>
  <c r="J183" i="5"/>
  <c r="K183" i="5" s="1"/>
  <c r="L183" i="5" s="1"/>
  <c r="M183" i="5"/>
  <c r="N183" i="5" s="1"/>
  <c r="O183" i="5" s="1"/>
  <c r="J185" i="5"/>
  <c r="K185" i="5" s="1"/>
  <c r="L185" i="5" s="1"/>
  <c r="M185" i="5"/>
  <c r="N185" i="5" s="1"/>
  <c r="O185" i="5" s="1"/>
  <c r="J186" i="5"/>
  <c r="K186" i="5" s="1"/>
  <c r="L186" i="5" s="1"/>
  <c r="M186" i="5"/>
  <c r="J187" i="5"/>
  <c r="K187" i="5" s="1"/>
  <c r="L187" i="5" s="1"/>
  <c r="M187" i="5"/>
  <c r="N187" i="5" s="1"/>
  <c r="O187" i="5" s="1"/>
  <c r="J189" i="5"/>
  <c r="K189" i="5" s="1"/>
  <c r="L189" i="5" s="1"/>
  <c r="M189" i="5"/>
  <c r="J190" i="5"/>
  <c r="K190" i="5" s="1"/>
  <c r="L190" i="5" s="1"/>
  <c r="M190" i="5"/>
  <c r="N190" i="5" s="1"/>
  <c r="O190" i="5" s="1"/>
  <c r="J191" i="5"/>
  <c r="K191" i="5" s="1"/>
  <c r="L191" i="5" s="1"/>
  <c r="M191" i="5"/>
  <c r="N191" i="5" s="1"/>
  <c r="O191" i="5" s="1"/>
  <c r="J192" i="5"/>
  <c r="K192" i="5" s="1"/>
  <c r="L192" i="5" s="1"/>
  <c r="M192" i="5"/>
  <c r="N192" i="5" s="1"/>
  <c r="O192" i="5" s="1"/>
  <c r="J193" i="5"/>
  <c r="K193" i="5" s="1"/>
  <c r="L193" i="5" s="1"/>
  <c r="M193" i="5"/>
  <c r="J194" i="5"/>
  <c r="K194" i="5" s="1"/>
  <c r="L194" i="5" s="1"/>
  <c r="M194" i="5"/>
  <c r="N194" i="5" s="1"/>
  <c r="O194" i="5" s="1"/>
  <c r="J195" i="5"/>
  <c r="M195" i="5"/>
  <c r="J206" i="5"/>
  <c r="J207" i="5"/>
  <c r="K207" i="5" s="1"/>
  <c r="L207" i="5" s="1"/>
  <c r="M207" i="5"/>
  <c r="N207" i="5" s="1"/>
  <c r="O207" i="5" s="1"/>
  <c r="J208" i="5"/>
  <c r="K208" i="5" s="1"/>
  <c r="M208" i="5"/>
  <c r="J209" i="5"/>
  <c r="K209" i="5" s="1"/>
  <c r="M209" i="5"/>
  <c r="N209" i="5" s="1"/>
  <c r="O209" i="5" s="1"/>
  <c r="J211" i="5"/>
  <c r="K211" i="5" s="1"/>
  <c r="L211" i="5" s="1"/>
  <c r="M211" i="5"/>
  <c r="N211" i="5" s="1"/>
  <c r="O211" i="5" s="1"/>
  <c r="J212" i="5"/>
  <c r="K212" i="5" s="1"/>
  <c r="M212" i="5"/>
  <c r="N212" i="5" s="1"/>
  <c r="O212" i="5" s="1"/>
  <c r="J213" i="5"/>
  <c r="K213" i="5" s="1"/>
  <c r="L213" i="5" s="1"/>
  <c r="M213" i="5"/>
  <c r="N213" i="5" s="1"/>
  <c r="O213" i="5" s="1"/>
  <c r="J214" i="5"/>
  <c r="K214" i="5" s="1"/>
  <c r="M214" i="5"/>
  <c r="N214" i="5" s="1"/>
  <c r="O214" i="5" s="1"/>
  <c r="J215" i="5"/>
  <c r="K215" i="5" s="1"/>
  <c r="L215" i="5" s="1"/>
  <c r="M215" i="5"/>
  <c r="N215" i="5" s="1"/>
  <c r="O215" i="5" s="1"/>
  <c r="J216" i="5"/>
  <c r="K216" i="5" s="1"/>
  <c r="M216" i="5"/>
  <c r="N216" i="5" s="1"/>
  <c r="O216" i="5" s="1"/>
  <c r="J217" i="5"/>
  <c r="K217" i="5" s="1"/>
  <c r="L217" i="5" s="1"/>
  <c r="M217" i="5"/>
  <c r="N217" i="5" s="1"/>
  <c r="O217" i="5" s="1"/>
  <c r="J218" i="5"/>
  <c r="K218" i="5" s="1"/>
  <c r="M218" i="5"/>
  <c r="N218" i="5" s="1"/>
  <c r="O218" i="5" s="1"/>
  <c r="J219" i="5"/>
  <c r="K219" i="5" s="1"/>
  <c r="L219" i="5" s="1"/>
  <c r="M219" i="5"/>
  <c r="J220" i="5"/>
  <c r="K220" i="5" s="1"/>
  <c r="M220" i="5"/>
  <c r="N220" i="5" s="1"/>
  <c r="O220" i="5" s="1"/>
  <c r="J221" i="5"/>
  <c r="K221" i="5" s="1"/>
  <c r="L221" i="5" s="1"/>
  <c r="M221" i="5"/>
  <c r="J222" i="5"/>
  <c r="K222" i="5" s="1"/>
  <c r="M222" i="5"/>
  <c r="N222" i="5" s="1"/>
  <c r="O222" i="5" s="1"/>
  <c r="J223" i="5"/>
  <c r="K223" i="5" s="1"/>
  <c r="L223" i="5" s="1"/>
  <c r="M223" i="5"/>
  <c r="N223" i="5" s="1"/>
  <c r="O223" i="5" s="1"/>
  <c r="J224" i="5"/>
  <c r="K224" i="5" s="1"/>
  <c r="M224" i="5"/>
  <c r="N224" i="5" s="1"/>
  <c r="O224" i="5" s="1"/>
  <c r="J225" i="5"/>
  <c r="K225" i="5" s="1"/>
  <c r="L225" i="5" s="1"/>
  <c r="M225" i="5"/>
  <c r="J226" i="5"/>
  <c r="K226" i="5" s="1"/>
  <c r="M226" i="5"/>
  <c r="N226" i="5" s="1"/>
  <c r="O226" i="5" s="1"/>
  <c r="J227" i="5"/>
  <c r="K227" i="5" s="1"/>
  <c r="L227" i="5" s="1"/>
  <c r="M227" i="5"/>
  <c r="J228" i="5"/>
  <c r="K228" i="5" s="1"/>
  <c r="M228" i="5"/>
  <c r="N228" i="5" s="1"/>
  <c r="O228" i="5" s="1"/>
  <c r="J229" i="5"/>
  <c r="K229" i="5" s="1"/>
  <c r="L229" i="5" s="1"/>
  <c r="M229" i="5"/>
  <c r="N229" i="5" s="1"/>
  <c r="O229" i="5" s="1"/>
  <c r="J230" i="5"/>
  <c r="K230" i="5" s="1"/>
  <c r="L230" i="5" s="1"/>
  <c r="M230" i="5"/>
  <c r="N230" i="5" s="1"/>
  <c r="O230" i="5" s="1"/>
  <c r="J231" i="5"/>
  <c r="K231" i="5" s="1"/>
  <c r="L231" i="5" s="1"/>
  <c r="M231" i="5"/>
  <c r="N231" i="5" s="1"/>
  <c r="O231" i="5" s="1"/>
  <c r="J232" i="5"/>
  <c r="K232" i="5" s="1"/>
  <c r="M232" i="5"/>
  <c r="N232" i="5" s="1"/>
  <c r="J233" i="5"/>
  <c r="K233" i="5" s="1"/>
  <c r="M233" i="5"/>
  <c r="N233" i="5" s="1"/>
  <c r="J234" i="5"/>
  <c r="K234" i="5" s="1"/>
  <c r="M234" i="5"/>
  <c r="N234" i="5" s="1"/>
  <c r="J235" i="5"/>
  <c r="K235" i="5" s="1"/>
  <c r="M235" i="5"/>
  <c r="N235" i="5" s="1"/>
  <c r="J236" i="5"/>
  <c r="K236" i="5" s="1"/>
  <c r="M236" i="5"/>
  <c r="N236" i="5" s="1"/>
  <c r="J237" i="5"/>
  <c r="K237" i="5" s="1"/>
  <c r="M237" i="5"/>
  <c r="N237" i="5" s="1"/>
  <c r="J238" i="5"/>
  <c r="K238" i="5" s="1"/>
  <c r="M238" i="5"/>
  <c r="N238" i="5" s="1"/>
  <c r="J239" i="5"/>
  <c r="K239" i="5" s="1"/>
  <c r="M239" i="5"/>
  <c r="N239" i="5" s="1"/>
  <c r="J240" i="5"/>
  <c r="K240" i="5" s="1"/>
  <c r="M240" i="5"/>
  <c r="N240" i="5" s="1"/>
  <c r="J242" i="5"/>
  <c r="K242" i="5" s="1"/>
  <c r="M242" i="5"/>
  <c r="N242" i="5" s="1"/>
  <c r="J270" i="5"/>
  <c r="J271" i="5"/>
  <c r="K271" i="5" s="1"/>
  <c r="L271" i="5" s="1"/>
  <c r="J272" i="5"/>
  <c r="K272" i="5" s="1"/>
  <c r="L272" i="5" s="1"/>
  <c r="M272" i="5"/>
  <c r="J273" i="5"/>
  <c r="K273" i="5" s="1"/>
  <c r="M273" i="5"/>
  <c r="N273" i="5" s="1"/>
  <c r="O273" i="5" s="1"/>
  <c r="J244" i="5"/>
  <c r="K244" i="5" s="1"/>
  <c r="L244" i="5" s="1"/>
  <c r="M244" i="5"/>
  <c r="J274" i="5"/>
  <c r="K274" i="5" s="1"/>
  <c r="L274" i="5" s="1"/>
  <c r="M274" i="5"/>
  <c r="J275" i="5"/>
  <c r="K275" i="5" s="1"/>
  <c r="M275" i="5"/>
  <c r="N275" i="5" s="1"/>
  <c r="O275" i="5" s="1"/>
  <c r="J276" i="5"/>
  <c r="M276" i="5"/>
  <c r="J277" i="5"/>
  <c r="K277" i="5" s="1"/>
  <c r="L277" i="5" s="1"/>
  <c r="M277" i="5"/>
  <c r="N277" i="5" s="1"/>
  <c r="O277" i="5" s="1"/>
  <c r="J278" i="5"/>
  <c r="K278" i="5" s="1"/>
  <c r="L278" i="5" s="1"/>
  <c r="M278" i="5"/>
  <c r="J279" i="5"/>
  <c r="K279" i="5" s="1"/>
  <c r="M279" i="5"/>
  <c r="N279" i="5" s="1"/>
  <c r="O279" i="5" s="1"/>
  <c r="J280" i="5"/>
  <c r="M280" i="5"/>
  <c r="J281" i="5"/>
  <c r="K281" i="5" s="1"/>
  <c r="L281" i="5" s="1"/>
  <c r="M281" i="5"/>
  <c r="J282" i="5"/>
  <c r="K282" i="5" s="1"/>
  <c r="L282" i="5" s="1"/>
  <c r="M282" i="5"/>
  <c r="J283" i="5"/>
  <c r="K283" i="5" s="1"/>
  <c r="M283" i="5"/>
  <c r="J284" i="5"/>
  <c r="M284" i="5"/>
  <c r="J285" i="5"/>
  <c r="K285" i="5" s="1"/>
  <c r="M285" i="5"/>
  <c r="J286" i="5"/>
  <c r="M286" i="5"/>
  <c r="J287" i="5"/>
  <c r="K287" i="5" s="1"/>
  <c r="M287" i="5"/>
  <c r="J288" i="5"/>
  <c r="M288" i="5"/>
  <c r="J289" i="5"/>
  <c r="M289" i="5"/>
  <c r="N289" i="5" s="1"/>
  <c r="O289" i="5" s="1"/>
  <c r="J290" i="5"/>
  <c r="M290" i="5"/>
  <c r="J291" i="5"/>
  <c r="M291" i="5"/>
  <c r="N291" i="5" s="1"/>
  <c r="O291" i="5" s="1"/>
  <c r="J292" i="5"/>
  <c r="M292" i="5"/>
  <c r="J293" i="5"/>
  <c r="M293" i="5"/>
  <c r="N293" i="5" s="1"/>
  <c r="O293" i="5" s="1"/>
  <c r="J294" i="5"/>
  <c r="M294" i="5"/>
  <c r="J295" i="5"/>
  <c r="M295" i="5"/>
  <c r="N295" i="5" s="1"/>
  <c r="O295" i="5" s="1"/>
  <c r="J296" i="5"/>
  <c r="M296" i="5"/>
  <c r="J297" i="5"/>
  <c r="M297" i="5"/>
  <c r="N297" i="5" s="1"/>
  <c r="O297" i="5" s="1"/>
  <c r="J298" i="5"/>
  <c r="M298" i="5"/>
  <c r="N298" i="5" s="1"/>
  <c r="J299" i="5"/>
  <c r="M299" i="5"/>
  <c r="N299" i="5" s="1"/>
  <c r="O299" i="5" s="1"/>
  <c r="J300" i="5"/>
  <c r="M300" i="5"/>
  <c r="J301" i="5"/>
  <c r="K301" i="5" s="1"/>
  <c r="L301" i="5" s="1"/>
  <c r="M301" i="5"/>
  <c r="N301" i="5" s="1"/>
  <c r="O301" i="5" s="1"/>
  <c r="J302" i="5"/>
  <c r="M302" i="5"/>
  <c r="J303" i="5"/>
  <c r="K303" i="5" s="1"/>
  <c r="L303" i="5" s="1"/>
  <c r="M303" i="5"/>
  <c r="N303" i="5" s="1"/>
  <c r="O303" i="5" s="1"/>
  <c r="J304" i="5"/>
  <c r="M304" i="5"/>
  <c r="J305" i="5"/>
  <c r="K305" i="5" s="1"/>
  <c r="L305" i="5" s="1"/>
  <c r="M305" i="5"/>
  <c r="N305" i="5" s="1"/>
  <c r="O305" i="5" s="1"/>
  <c r="J306" i="5"/>
  <c r="M306" i="5"/>
  <c r="N306" i="5" s="1"/>
  <c r="J307" i="5"/>
  <c r="K307" i="5" s="1"/>
  <c r="L307" i="5" s="1"/>
  <c r="M307" i="5"/>
  <c r="N307" i="5" s="1"/>
  <c r="O307" i="5" s="1"/>
  <c r="J308" i="5"/>
  <c r="M308" i="5"/>
  <c r="J309" i="5"/>
  <c r="K309" i="5" s="1"/>
  <c r="L309" i="5" s="1"/>
  <c r="M309" i="5"/>
  <c r="N309" i="5" s="1"/>
  <c r="O309" i="5" s="1"/>
  <c r="J310" i="5"/>
  <c r="M310" i="5"/>
  <c r="J311" i="5"/>
  <c r="K311" i="5" s="1"/>
  <c r="L311" i="5" s="1"/>
  <c r="M311" i="5"/>
  <c r="N311" i="5" s="1"/>
  <c r="O311" i="5" s="1"/>
  <c r="J312" i="5"/>
  <c r="M312" i="5"/>
  <c r="J313" i="5"/>
  <c r="K313" i="5" s="1"/>
  <c r="L313" i="5" s="1"/>
  <c r="M313" i="5"/>
  <c r="N313" i="5" s="1"/>
  <c r="O313" i="5" s="1"/>
  <c r="J314" i="5"/>
  <c r="M314" i="5"/>
  <c r="J315" i="5"/>
  <c r="K315" i="5" s="1"/>
  <c r="L315" i="5" s="1"/>
  <c r="M315" i="5"/>
  <c r="N315" i="5" s="1"/>
  <c r="O315" i="5" s="1"/>
  <c r="J316" i="5"/>
  <c r="M316" i="5"/>
  <c r="J317" i="5"/>
  <c r="K317" i="5" s="1"/>
  <c r="L317" i="5" s="1"/>
  <c r="M317" i="5"/>
  <c r="N317" i="5" s="1"/>
  <c r="O317" i="5" s="1"/>
  <c r="J318" i="5"/>
  <c r="M318" i="5"/>
  <c r="J319" i="5"/>
  <c r="K319" i="5" s="1"/>
  <c r="L319" i="5" s="1"/>
  <c r="M319" i="5"/>
  <c r="N319" i="5" s="1"/>
  <c r="O319" i="5" s="1"/>
  <c r="J320" i="5"/>
  <c r="M320" i="5"/>
  <c r="J321" i="5"/>
  <c r="K321" i="5" s="1"/>
  <c r="L321" i="5" s="1"/>
  <c r="M321" i="5"/>
  <c r="N321" i="5" s="1"/>
  <c r="O321" i="5" s="1"/>
  <c r="J322" i="5"/>
  <c r="M322" i="5"/>
  <c r="N322" i="5" s="1"/>
  <c r="O322" i="5" s="1"/>
  <c r="J323" i="5"/>
  <c r="K323" i="5" s="1"/>
  <c r="L323" i="5" s="1"/>
  <c r="M323" i="5"/>
  <c r="N323" i="5" s="1"/>
  <c r="O323" i="5" s="1"/>
  <c r="J324" i="5"/>
  <c r="K324" i="5" s="1"/>
  <c r="L324" i="5" s="1"/>
  <c r="M324" i="5"/>
  <c r="N324" i="5" s="1"/>
  <c r="O324" i="5" s="1"/>
  <c r="J325" i="5"/>
  <c r="K325" i="5" s="1"/>
  <c r="L325" i="5" s="1"/>
  <c r="M325" i="5"/>
  <c r="N325" i="5" s="1"/>
  <c r="O325" i="5" s="1"/>
  <c r="J326" i="5"/>
  <c r="K326" i="5" s="1"/>
  <c r="L326" i="5" s="1"/>
  <c r="M326" i="5"/>
  <c r="N326" i="5" s="1"/>
  <c r="O326" i="5" s="1"/>
  <c r="J327" i="5"/>
  <c r="K327" i="5" s="1"/>
  <c r="L327" i="5" s="1"/>
  <c r="M327" i="5"/>
  <c r="N327" i="5" s="1"/>
  <c r="O327" i="5" s="1"/>
  <c r="J328" i="5"/>
  <c r="K328" i="5" s="1"/>
  <c r="L328" i="5" s="1"/>
  <c r="M328" i="5"/>
  <c r="N328" i="5" s="1"/>
  <c r="O328" i="5" s="1"/>
  <c r="J329" i="5"/>
  <c r="K329" i="5" s="1"/>
  <c r="L329" i="5" s="1"/>
  <c r="M329" i="5"/>
  <c r="N329" i="5" s="1"/>
  <c r="O329" i="5" s="1"/>
  <c r="J330" i="5"/>
  <c r="K330" i="5" s="1"/>
  <c r="L330" i="5" s="1"/>
  <c r="M330" i="5"/>
  <c r="N330" i="5" s="1"/>
  <c r="O330" i="5" s="1"/>
  <c r="J331" i="5"/>
  <c r="K331" i="5" s="1"/>
  <c r="L331" i="5" s="1"/>
  <c r="M331" i="5"/>
  <c r="N331" i="5" s="1"/>
  <c r="O331" i="5" s="1"/>
  <c r="J332" i="5"/>
  <c r="K332" i="5" s="1"/>
  <c r="L332" i="5" s="1"/>
  <c r="M332" i="5"/>
  <c r="N332" i="5" s="1"/>
  <c r="O332" i="5" s="1"/>
  <c r="J333" i="5"/>
  <c r="K333" i="5" s="1"/>
  <c r="L333" i="5" s="1"/>
  <c r="M333" i="5"/>
  <c r="N333" i="5" s="1"/>
  <c r="O333" i="5" s="1"/>
  <c r="J334" i="5"/>
  <c r="K334" i="5" s="1"/>
  <c r="L334" i="5" s="1"/>
  <c r="M334" i="5"/>
  <c r="J335" i="5"/>
  <c r="K335" i="5" s="1"/>
  <c r="L335" i="5" s="1"/>
  <c r="M335" i="5"/>
  <c r="N335" i="5" s="1"/>
  <c r="O335" i="5" s="1"/>
  <c r="J336" i="5"/>
  <c r="M336" i="5"/>
  <c r="N336" i="5" s="1"/>
  <c r="O336" i="5" s="1"/>
  <c r="J337" i="5"/>
  <c r="K337" i="5" s="1"/>
  <c r="L337" i="5" s="1"/>
  <c r="M337" i="5"/>
  <c r="N337" i="5" s="1"/>
  <c r="O337" i="5" s="1"/>
  <c r="J338" i="5"/>
  <c r="K338" i="5" s="1"/>
  <c r="L338" i="5" s="1"/>
  <c r="M338" i="5"/>
  <c r="J339" i="5"/>
  <c r="K339" i="5" s="1"/>
  <c r="L339" i="5" s="1"/>
  <c r="M339" i="5"/>
  <c r="N339" i="5" s="1"/>
  <c r="O339" i="5" s="1"/>
  <c r="J340" i="5"/>
  <c r="M340" i="5"/>
  <c r="N340" i="5" s="1"/>
  <c r="J341" i="5"/>
  <c r="K341" i="5" s="1"/>
  <c r="L341" i="5" s="1"/>
  <c r="M341" i="5"/>
  <c r="N341" i="5" s="1"/>
  <c r="O341" i="5" s="1"/>
  <c r="J342" i="5"/>
  <c r="K342" i="5" s="1"/>
  <c r="L342" i="5" s="1"/>
  <c r="M342" i="5"/>
  <c r="J343" i="5"/>
  <c r="K343" i="5" s="1"/>
  <c r="L343" i="5" s="1"/>
  <c r="M343" i="5"/>
  <c r="N343" i="5" s="1"/>
  <c r="O343" i="5" s="1"/>
  <c r="J344" i="5"/>
  <c r="M344" i="5"/>
  <c r="J345" i="5"/>
  <c r="K345" i="5" s="1"/>
  <c r="L345" i="5" s="1"/>
  <c r="M345" i="5"/>
  <c r="N345" i="5" s="1"/>
  <c r="O345" i="5" s="1"/>
  <c r="J346" i="5"/>
  <c r="M346" i="5"/>
  <c r="J347" i="5"/>
  <c r="K347" i="5" s="1"/>
  <c r="L347" i="5" s="1"/>
  <c r="M347" i="5"/>
  <c r="N347" i="5" s="1"/>
  <c r="O347" i="5" s="1"/>
  <c r="J348" i="5"/>
  <c r="M348" i="5"/>
  <c r="J349" i="5"/>
  <c r="K349" i="5" s="1"/>
  <c r="L349" i="5" s="1"/>
  <c r="M349" i="5"/>
  <c r="N349" i="5" s="1"/>
  <c r="O349" i="5" s="1"/>
  <c r="J350" i="5"/>
  <c r="M350" i="5"/>
  <c r="N350" i="5" s="1"/>
  <c r="O350" i="5" s="1"/>
  <c r="J351" i="5"/>
  <c r="K351" i="5" s="1"/>
  <c r="L351" i="5" s="1"/>
  <c r="M351" i="5"/>
  <c r="N351" i="5" s="1"/>
  <c r="O351" i="5" s="1"/>
  <c r="J352" i="5"/>
  <c r="M352" i="5"/>
  <c r="N352" i="5" s="1"/>
  <c r="J353" i="5"/>
  <c r="K353" i="5" s="1"/>
  <c r="L353" i="5" s="1"/>
  <c r="M353" i="5"/>
  <c r="N353" i="5" s="1"/>
  <c r="O353" i="5" s="1"/>
  <c r="J354" i="5"/>
  <c r="M354" i="5"/>
  <c r="N354" i="5" s="1"/>
  <c r="J355" i="5"/>
  <c r="K355" i="5" s="1"/>
  <c r="L355" i="5" s="1"/>
  <c r="M355" i="5"/>
  <c r="N355" i="5" s="1"/>
  <c r="O355" i="5" s="1"/>
  <c r="J356" i="5"/>
  <c r="M356" i="5"/>
  <c r="N356" i="5" s="1"/>
  <c r="J357" i="5"/>
  <c r="K357" i="5" s="1"/>
  <c r="L357" i="5" s="1"/>
  <c r="M357" i="5"/>
  <c r="N357" i="5" s="1"/>
  <c r="O357" i="5" s="1"/>
  <c r="J358" i="5"/>
  <c r="K358" i="5" s="1"/>
  <c r="L358" i="5" s="1"/>
  <c r="M358" i="5"/>
  <c r="N358" i="5" s="1"/>
  <c r="O358" i="5" s="1"/>
  <c r="J359" i="5"/>
  <c r="K359" i="5" s="1"/>
  <c r="L359" i="5" s="1"/>
  <c r="M359" i="5"/>
  <c r="N359" i="5" s="1"/>
  <c r="O359" i="5" s="1"/>
  <c r="J360" i="5"/>
  <c r="M360" i="5"/>
  <c r="N360" i="5" s="1"/>
  <c r="J361" i="5"/>
  <c r="K361" i="5" s="1"/>
  <c r="L361" i="5" s="1"/>
  <c r="M361" i="5"/>
  <c r="N361" i="5" s="1"/>
  <c r="O361" i="5" s="1"/>
  <c r="J362" i="5"/>
  <c r="K362" i="5" s="1"/>
  <c r="L362" i="5" s="1"/>
  <c r="M362" i="5"/>
  <c r="J363" i="5"/>
  <c r="K363" i="5" s="1"/>
  <c r="L363" i="5" s="1"/>
  <c r="M363" i="5"/>
  <c r="N363" i="5" s="1"/>
  <c r="O363" i="5" s="1"/>
  <c r="J364" i="5"/>
  <c r="M364" i="5"/>
  <c r="N364" i="5" s="1"/>
  <c r="J365" i="5"/>
  <c r="K365" i="5" s="1"/>
  <c r="L365" i="5" s="1"/>
  <c r="M365" i="5"/>
  <c r="N365" i="5" s="1"/>
  <c r="O365" i="5" s="1"/>
  <c r="J366" i="5"/>
  <c r="M366" i="5"/>
  <c r="J367" i="5"/>
  <c r="K367" i="5" s="1"/>
  <c r="L367" i="5" s="1"/>
  <c r="M367" i="5"/>
  <c r="N367" i="5" s="1"/>
  <c r="O367" i="5" s="1"/>
  <c r="J368" i="5"/>
  <c r="M368" i="5"/>
  <c r="J369" i="5"/>
  <c r="K369" i="5" s="1"/>
  <c r="L369" i="5" s="1"/>
  <c r="M369" i="5"/>
  <c r="N369" i="5" s="1"/>
  <c r="O369" i="5" s="1"/>
  <c r="J370" i="5"/>
  <c r="M370" i="5"/>
  <c r="J371" i="5"/>
  <c r="K371" i="5" s="1"/>
  <c r="L371" i="5" s="1"/>
  <c r="M371" i="5"/>
  <c r="N371" i="5" s="1"/>
  <c r="O371" i="5" s="1"/>
  <c r="J372" i="5"/>
  <c r="M372" i="5"/>
  <c r="J373" i="5"/>
  <c r="K373" i="5" s="1"/>
  <c r="L373" i="5" s="1"/>
  <c r="M373" i="5"/>
  <c r="N373" i="5" s="1"/>
  <c r="O373" i="5" s="1"/>
  <c r="J374" i="5"/>
  <c r="M374" i="5"/>
  <c r="J375" i="5"/>
  <c r="K375" i="5" s="1"/>
  <c r="L375" i="5" s="1"/>
  <c r="M375" i="5"/>
  <c r="N375" i="5" s="1"/>
  <c r="O375" i="5" s="1"/>
  <c r="J376" i="5"/>
  <c r="G102" i="5"/>
  <c r="G103" i="5" s="1"/>
  <c r="G104" i="5" s="1"/>
  <c r="J18" i="5"/>
  <c r="K18" i="5" s="1"/>
  <c r="L18" i="5" s="1"/>
  <c r="M18" i="5"/>
  <c r="N18" i="5" s="1"/>
  <c r="O18" i="5" s="1"/>
  <c r="J19" i="5"/>
  <c r="K19" i="5" s="1"/>
  <c r="L19" i="5" s="1"/>
  <c r="M19" i="5"/>
  <c r="N19" i="5" s="1"/>
  <c r="O19" i="5" s="1"/>
  <c r="J20" i="5"/>
  <c r="K20" i="5" s="1"/>
  <c r="L20" i="5" s="1"/>
  <c r="M20" i="5"/>
  <c r="N20" i="5" s="1"/>
  <c r="O20" i="5" s="1"/>
  <c r="J21" i="5"/>
  <c r="K21" i="5" s="1"/>
  <c r="L21" i="5" s="1"/>
  <c r="M21" i="5"/>
  <c r="N21" i="5" s="1"/>
  <c r="O21" i="5" s="1"/>
  <c r="J22" i="5"/>
  <c r="K22" i="5" s="1"/>
  <c r="L22" i="5" s="1"/>
  <c r="M22" i="5"/>
  <c r="N22" i="5" s="1"/>
  <c r="O22" i="5" s="1"/>
  <c r="J23" i="5"/>
  <c r="K23" i="5" s="1"/>
  <c r="L23" i="5" s="1"/>
  <c r="M23" i="5"/>
  <c r="N23" i="5" s="1"/>
  <c r="O23" i="5" s="1"/>
  <c r="J24" i="5"/>
  <c r="K24" i="5" s="1"/>
  <c r="L24" i="5" s="1"/>
  <c r="M24" i="5"/>
  <c r="N24" i="5" s="1"/>
  <c r="O24" i="5" s="1"/>
  <c r="J25" i="5"/>
  <c r="K25" i="5" s="1"/>
  <c r="L25" i="5" s="1"/>
  <c r="M25" i="5"/>
  <c r="N25" i="5" s="1"/>
  <c r="O25" i="5" s="1"/>
  <c r="J26" i="5"/>
  <c r="K26" i="5" s="1"/>
  <c r="L26" i="5" s="1"/>
  <c r="M26" i="5"/>
  <c r="N26" i="5" s="1"/>
  <c r="O26" i="5" s="1"/>
  <c r="J27" i="5"/>
  <c r="K27" i="5" s="1"/>
  <c r="L27" i="5" s="1"/>
  <c r="M27" i="5"/>
  <c r="N27" i="5" s="1"/>
  <c r="O27" i="5" s="1"/>
  <c r="J28" i="5"/>
  <c r="K28" i="5" s="1"/>
  <c r="L28" i="5" s="1"/>
  <c r="M28" i="5"/>
  <c r="N28" i="5" s="1"/>
  <c r="O28" i="5" s="1"/>
  <c r="J29" i="5"/>
  <c r="K29" i="5" s="1"/>
  <c r="L29" i="5" s="1"/>
  <c r="M29" i="5"/>
  <c r="N29" i="5" s="1"/>
  <c r="O29" i="5" s="1"/>
  <c r="J30" i="5"/>
  <c r="K30" i="5" s="1"/>
  <c r="L30" i="5" s="1"/>
  <c r="M30" i="5"/>
  <c r="N30" i="5" s="1"/>
  <c r="O30" i="5" s="1"/>
  <c r="J31" i="5"/>
  <c r="K31" i="5" s="1"/>
  <c r="L31" i="5" s="1"/>
  <c r="M31" i="5"/>
  <c r="N31" i="5" s="1"/>
  <c r="O31" i="5" s="1"/>
  <c r="J32" i="5"/>
  <c r="K32" i="5" s="1"/>
  <c r="L32" i="5" s="1"/>
  <c r="M32" i="5"/>
  <c r="N32" i="5" s="1"/>
  <c r="O32" i="5" s="1"/>
  <c r="J33" i="5"/>
  <c r="K33" i="5" s="1"/>
  <c r="L33" i="5" s="1"/>
  <c r="M33" i="5"/>
  <c r="N33" i="5" s="1"/>
  <c r="O33" i="5" s="1"/>
  <c r="J34" i="5"/>
  <c r="K34" i="5" s="1"/>
  <c r="L34" i="5" s="1"/>
  <c r="M34" i="5"/>
  <c r="N34" i="5" s="1"/>
  <c r="O34" i="5" s="1"/>
  <c r="J35" i="5"/>
  <c r="K35" i="5" s="1"/>
  <c r="L35" i="5" s="1"/>
  <c r="M35" i="5"/>
  <c r="N35" i="5" s="1"/>
  <c r="O35" i="5" s="1"/>
  <c r="J36" i="5"/>
  <c r="K36" i="5" s="1"/>
  <c r="L36" i="5" s="1"/>
  <c r="M36" i="5"/>
  <c r="N36" i="5" s="1"/>
  <c r="O36" i="5" s="1"/>
  <c r="J37" i="5"/>
  <c r="K37" i="5" s="1"/>
  <c r="L37" i="5" s="1"/>
  <c r="M37" i="5"/>
  <c r="N37" i="5" s="1"/>
  <c r="O37" i="5" s="1"/>
  <c r="J38" i="5"/>
  <c r="K38" i="5" s="1"/>
  <c r="L38" i="5" s="1"/>
  <c r="M38" i="5"/>
  <c r="N38" i="5" s="1"/>
  <c r="O38" i="5" s="1"/>
  <c r="J39" i="5"/>
  <c r="K39" i="5" s="1"/>
  <c r="L39" i="5" s="1"/>
  <c r="M39" i="5"/>
  <c r="N39" i="5" s="1"/>
  <c r="O39" i="5" s="1"/>
  <c r="J40" i="5"/>
  <c r="K40" i="5" s="1"/>
  <c r="L40" i="5" s="1"/>
  <c r="M40" i="5"/>
  <c r="N40" i="5" s="1"/>
  <c r="O40" i="5" s="1"/>
  <c r="J41" i="5"/>
  <c r="K41" i="5" s="1"/>
  <c r="L41" i="5" s="1"/>
  <c r="M41" i="5"/>
  <c r="N41" i="5" s="1"/>
  <c r="O41" i="5" s="1"/>
  <c r="J42" i="5"/>
  <c r="K42" i="5" s="1"/>
  <c r="L42" i="5" s="1"/>
  <c r="M42" i="5"/>
  <c r="N42" i="5" s="1"/>
  <c r="O42" i="5" s="1"/>
  <c r="J43" i="5"/>
  <c r="K43" i="5" s="1"/>
  <c r="L43" i="5" s="1"/>
  <c r="M43" i="5"/>
  <c r="N43" i="5" s="1"/>
  <c r="O43" i="5" s="1"/>
  <c r="J44" i="5"/>
  <c r="K44" i="5" s="1"/>
  <c r="L44" i="5" s="1"/>
  <c r="M44" i="5"/>
  <c r="N44" i="5" s="1"/>
  <c r="O44" i="5" s="1"/>
  <c r="J45" i="5"/>
  <c r="K45" i="5" s="1"/>
  <c r="L45" i="5" s="1"/>
  <c r="M45" i="5"/>
  <c r="N45" i="5" s="1"/>
  <c r="O45" i="5" s="1"/>
  <c r="J46" i="5"/>
  <c r="K46" i="5" s="1"/>
  <c r="L46" i="5" s="1"/>
  <c r="M46" i="5"/>
  <c r="N46" i="5" s="1"/>
  <c r="O46" i="5" s="1"/>
  <c r="J47" i="5"/>
  <c r="K47" i="5" s="1"/>
  <c r="L47" i="5" s="1"/>
  <c r="M47" i="5"/>
  <c r="N47" i="5" s="1"/>
  <c r="O47" i="5" s="1"/>
  <c r="J48" i="5"/>
  <c r="K48" i="5" s="1"/>
  <c r="L48" i="5" s="1"/>
  <c r="M48" i="5"/>
  <c r="N48" i="5" s="1"/>
  <c r="O48" i="5" s="1"/>
  <c r="J49" i="5"/>
  <c r="K49" i="5" s="1"/>
  <c r="L49" i="5" s="1"/>
  <c r="M49" i="5"/>
  <c r="N49" i="5" s="1"/>
  <c r="O49" i="5" s="1"/>
  <c r="J50" i="5"/>
  <c r="K50" i="5" s="1"/>
  <c r="L50" i="5" s="1"/>
  <c r="M50" i="5"/>
  <c r="N50" i="5" s="1"/>
  <c r="O50" i="5" s="1"/>
  <c r="J51" i="5"/>
  <c r="K51" i="5" s="1"/>
  <c r="L51" i="5" s="1"/>
  <c r="M51" i="5"/>
  <c r="N51" i="5" s="1"/>
  <c r="O51" i="5" s="1"/>
  <c r="J52" i="5"/>
  <c r="K52" i="5" s="1"/>
  <c r="L52" i="5" s="1"/>
  <c r="M52" i="5"/>
  <c r="N52" i="5" s="1"/>
  <c r="O52" i="5" s="1"/>
  <c r="J53" i="5"/>
  <c r="K53" i="5" s="1"/>
  <c r="L53" i="5" s="1"/>
  <c r="M53" i="5"/>
  <c r="N53" i="5" s="1"/>
  <c r="O53" i="5" s="1"/>
  <c r="J54" i="5"/>
  <c r="K54" i="5" s="1"/>
  <c r="L54" i="5" s="1"/>
  <c r="M54" i="5"/>
  <c r="N54" i="5" s="1"/>
  <c r="O54" i="5" s="1"/>
  <c r="J55" i="5"/>
  <c r="K55" i="5" s="1"/>
  <c r="L55" i="5" s="1"/>
  <c r="M55" i="5"/>
  <c r="N55" i="5" s="1"/>
  <c r="O55" i="5" s="1"/>
  <c r="J56" i="5"/>
  <c r="K56" i="5" s="1"/>
  <c r="L56" i="5" s="1"/>
  <c r="M56" i="5"/>
  <c r="N56" i="5" s="1"/>
  <c r="O56" i="5" s="1"/>
  <c r="J57" i="5"/>
  <c r="K57" i="5" s="1"/>
  <c r="L57" i="5" s="1"/>
  <c r="M57" i="5"/>
  <c r="N57" i="5" s="1"/>
  <c r="O57" i="5" s="1"/>
  <c r="J58" i="5"/>
  <c r="K58" i="5" s="1"/>
  <c r="L58" i="5" s="1"/>
  <c r="M58" i="5"/>
  <c r="N58" i="5" s="1"/>
  <c r="O58" i="5" s="1"/>
  <c r="J59" i="5"/>
  <c r="K59" i="5" s="1"/>
  <c r="L59" i="5" s="1"/>
  <c r="M59" i="5"/>
  <c r="N59" i="5" s="1"/>
  <c r="O59" i="5" s="1"/>
  <c r="J60" i="5"/>
  <c r="K60" i="5" s="1"/>
  <c r="L60" i="5" s="1"/>
  <c r="M60" i="5"/>
  <c r="N60" i="5" s="1"/>
  <c r="O60" i="5" s="1"/>
  <c r="J61" i="5"/>
  <c r="K61" i="5" s="1"/>
  <c r="L61" i="5" s="1"/>
  <c r="M61" i="5"/>
  <c r="N61" i="5" s="1"/>
  <c r="O61" i="5" s="1"/>
  <c r="J62" i="5"/>
  <c r="K62" i="5" s="1"/>
  <c r="L62" i="5" s="1"/>
  <c r="M62" i="5"/>
  <c r="N62" i="5" s="1"/>
  <c r="O62" i="5" s="1"/>
  <c r="J63" i="5"/>
  <c r="K63" i="5" s="1"/>
  <c r="L63" i="5" s="1"/>
  <c r="M63" i="5"/>
  <c r="N63" i="5" s="1"/>
  <c r="O63" i="5" s="1"/>
  <c r="J64" i="5"/>
  <c r="K64" i="5" s="1"/>
  <c r="L64" i="5" s="1"/>
  <c r="M64" i="5"/>
  <c r="N64" i="5" s="1"/>
  <c r="O64" i="5" s="1"/>
  <c r="J65" i="5"/>
  <c r="K65" i="5" s="1"/>
  <c r="L65" i="5" s="1"/>
  <c r="M65" i="5"/>
  <c r="N65" i="5" s="1"/>
  <c r="O65" i="5" s="1"/>
  <c r="J66" i="5"/>
  <c r="K66" i="5" s="1"/>
  <c r="L66" i="5" s="1"/>
  <c r="M66" i="5"/>
  <c r="N66" i="5" s="1"/>
  <c r="O66" i="5" s="1"/>
  <c r="J67" i="5"/>
  <c r="K67" i="5" s="1"/>
  <c r="L67" i="5" s="1"/>
  <c r="M67" i="5"/>
  <c r="N67" i="5" s="1"/>
  <c r="O67" i="5" s="1"/>
  <c r="J68" i="5"/>
  <c r="K68" i="5" s="1"/>
  <c r="L68" i="5" s="1"/>
  <c r="M68" i="5"/>
  <c r="N68" i="5" s="1"/>
  <c r="O68" i="5" s="1"/>
  <c r="J69" i="5"/>
  <c r="K69" i="5" s="1"/>
  <c r="L69" i="5" s="1"/>
  <c r="M69" i="5"/>
  <c r="N69" i="5" s="1"/>
  <c r="O69" i="5" s="1"/>
  <c r="J70" i="5"/>
  <c r="K70" i="5" s="1"/>
  <c r="L70" i="5" s="1"/>
  <c r="M70" i="5"/>
  <c r="N70" i="5" s="1"/>
  <c r="O70" i="5" s="1"/>
  <c r="J71" i="5"/>
  <c r="K71" i="5" s="1"/>
  <c r="L71" i="5" s="1"/>
  <c r="M71" i="5"/>
  <c r="N71" i="5" s="1"/>
  <c r="O71" i="5" s="1"/>
  <c r="J72" i="5"/>
  <c r="K72" i="5" s="1"/>
  <c r="L72" i="5" s="1"/>
  <c r="M72" i="5"/>
  <c r="N72" i="5" s="1"/>
  <c r="O72" i="5" s="1"/>
  <c r="J73" i="5"/>
  <c r="K73" i="5" s="1"/>
  <c r="L73" i="5" s="1"/>
  <c r="M73" i="5"/>
  <c r="N73" i="5" s="1"/>
  <c r="O73" i="5" s="1"/>
  <c r="J74" i="5"/>
  <c r="K74" i="5" s="1"/>
  <c r="L74" i="5" s="1"/>
  <c r="M74" i="5"/>
  <c r="N74" i="5" s="1"/>
  <c r="O74" i="5" s="1"/>
  <c r="J75" i="5"/>
  <c r="K75" i="5" s="1"/>
  <c r="L75" i="5" s="1"/>
  <c r="M75" i="5"/>
  <c r="N75" i="5" s="1"/>
  <c r="O75" i="5" s="1"/>
  <c r="J76" i="5"/>
  <c r="K76" i="5" s="1"/>
  <c r="L76" i="5" s="1"/>
  <c r="M76" i="5"/>
  <c r="N76" i="5" s="1"/>
  <c r="O76" i="5" s="1"/>
  <c r="J77" i="5"/>
  <c r="K77" i="5" s="1"/>
  <c r="L77" i="5" s="1"/>
  <c r="M77" i="5"/>
  <c r="N77" i="5" s="1"/>
  <c r="O77" i="5" s="1"/>
  <c r="J78" i="5"/>
  <c r="K78" i="5" s="1"/>
  <c r="L78" i="5" s="1"/>
  <c r="M78" i="5"/>
  <c r="N78" i="5" s="1"/>
  <c r="O78" i="5" s="1"/>
  <c r="J79" i="5"/>
  <c r="K79" i="5" s="1"/>
  <c r="L79" i="5" s="1"/>
  <c r="M79" i="5"/>
  <c r="N79" i="5" s="1"/>
  <c r="O79" i="5" s="1"/>
  <c r="J80" i="5"/>
  <c r="K80" i="5" s="1"/>
  <c r="L80" i="5" s="1"/>
  <c r="M80" i="5"/>
  <c r="N80" i="5" s="1"/>
  <c r="O80" i="5" s="1"/>
  <c r="J81" i="5"/>
  <c r="K81" i="5" s="1"/>
  <c r="L81" i="5" s="1"/>
  <c r="M81" i="5"/>
  <c r="N81" i="5" s="1"/>
  <c r="O81" i="5" s="1"/>
  <c r="J82" i="5"/>
  <c r="K82" i="5" s="1"/>
  <c r="L82" i="5" s="1"/>
  <c r="M82" i="5"/>
  <c r="N82" i="5" s="1"/>
  <c r="O82" i="5" s="1"/>
  <c r="J83" i="5"/>
  <c r="K83" i="5" s="1"/>
  <c r="L83" i="5" s="1"/>
  <c r="M83" i="5"/>
  <c r="N83" i="5" s="1"/>
  <c r="O83" i="5" s="1"/>
  <c r="J84" i="5"/>
  <c r="K84" i="5" s="1"/>
  <c r="L84" i="5" s="1"/>
  <c r="M84" i="5"/>
  <c r="N84" i="5" s="1"/>
  <c r="O84" i="5" s="1"/>
  <c r="J85" i="5"/>
  <c r="K85" i="5" s="1"/>
  <c r="L85" i="5" s="1"/>
  <c r="M85" i="5"/>
  <c r="N85" i="5" s="1"/>
  <c r="O85" i="5" s="1"/>
  <c r="J86" i="5"/>
  <c r="K86" i="5" s="1"/>
  <c r="L86" i="5" s="1"/>
  <c r="M86" i="5"/>
  <c r="N86" i="5" s="1"/>
  <c r="O86" i="5" s="1"/>
  <c r="J87" i="5"/>
  <c r="K87" i="5" s="1"/>
  <c r="L87" i="5" s="1"/>
  <c r="M87" i="5"/>
  <c r="N87" i="5" s="1"/>
  <c r="O87" i="5" s="1"/>
  <c r="J88" i="5"/>
  <c r="K88" i="5" s="1"/>
  <c r="L88" i="5" s="1"/>
  <c r="M88" i="5"/>
  <c r="N88" i="5" s="1"/>
  <c r="O88" i="5" s="1"/>
  <c r="J89" i="5"/>
  <c r="K89" i="5" s="1"/>
  <c r="L89" i="5" s="1"/>
  <c r="M89" i="5"/>
  <c r="N89" i="5" s="1"/>
  <c r="O89" i="5" s="1"/>
  <c r="J90" i="5"/>
  <c r="K90" i="5" s="1"/>
  <c r="L90" i="5" s="1"/>
  <c r="M90" i="5"/>
  <c r="N90" i="5" s="1"/>
  <c r="O90" i="5" s="1"/>
  <c r="J91" i="5"/>
  <c r="K91" i="5" s="1"/>
  <c r="L91" i="5" s="1"/>
  <c r="M91" i="5"/>
  <c r="N91" i="5" s="1"/>
  <c r="O91" i="5" s="1"/>
  <c r="J92" i="5"/>
  <c r="K92" i="5" s="1"/>
  <c r="L92" i="5" s="1"/>
  <c r="M92" i="5"/>
  <c r="N92" i="5" s="1"/>
  <c r="O92" i="5" s="1"/>
  <c r="J93" i="5"/>
  <c r="K93" i="5" s="1"/>
  <c r="L93" i="5" s="1"/>
  <c r="M93" i="5"/>
  <c r="N93" i="5" s="1"/>
  <c r="O93" i="5" s="1"/>
  <c r="J94" i="5"/>
  <c r="K94" i="5" s="1"/>
  <c r="L94" i="5" s="1"/>
  <c r="M94" i="5"/>
  <c r="N94" i="5" s="1"/>
  <c r="O94" i="5" s="1"/>
  <c r="J95" i="5"/>
  <c r="K95" i="5" s="1"/>
  <c r="L95" i="5" s="1"/>
  <c r="M95" i="5"/>
  <c r="N95" i="5" s="1"/>
  <c r="O95" i="5" s="1"/>
  <c r="J10" i="5"/>
  <c r="K10" i="5" s="1"/>
  <c r="L10" i="5" s="1"/>
  <c r="M10" i="5"/>
  <c r="N10" i="5" s="1"/>
  <c r="O10" i="5" s="1"/>
  <c r="J11" i="5"/>
  <c r="K11" i="5" s="1"/>
  <c r="L11" i="5" s="1"/>
  <c r="M11" i="5"/>
  <c r="N11" i="5" s="1"/>
  <c r="O11" i="5" s="1"/>
  <c r="M12" i="5"/>
  <c r="N12" i="5" s="1"/>
  <c r="O12" i="5" s="1"/>
  <c r="J13" i="5"/>
  <c r="K13" i="5" s="1"/>
  <c r="L13" i="5" s="1"/>
  <c r="M13" i="5"/>
  <c r="N13" i="5" s="1"/>
  <c r="O13" i="5" s="1"/>
  <c r="J14" i="5"/>
  <c r="K14" i="5" s="1"/>
  <c r="L14" i="5" s="1"/>
  <c r="M14" i="5"/>
  <c r="N14" i="5" s="1"/>
  <c r="O14" i="5" s="1"/>
  <c r="J15" i="5"/>
  <c r="K15" i="5" s="1"/>
  <c r="L15" i="5" s="1"/>
  <c r="M15" i="5"/>
  <c r="N15" i="5" s="1"/>
  <c r="O15" i="5" s="1"/>
  <c r="J16" i="5"/>
  <c r="K16" i="5" s="1"/>
  <c r="L16" i="5" s="1"/>
  <c r="M16" i="5"/>
  <c r="N16" i="5" s="1"/>
  <c r="O16" i="5" s="1"/>
  <c r="J17" i="5"/>
  <c r="K17" i="5" s="1"/>
  <c r="L17" i="5" s="1"/>
  <c r="M17" i="5"/>
  <c r="N17" i="5" s="1"/>
  <c r="O17" i="5" s="1"/>
  <c r="M9" i="5"/>
  <c r="N9" i="5" s="1"/>
  <c r="O9" i="5" s="1"/>
  <c r="J9" i="5"/>
  <c r="K9" i="5" s="1"/>
  <c r="L9" i="5" s="1"/>
  <c r="M8" i="5"/>
  <c r="N8" i="5" s="1"/>
  <c r="O8" i="5" s="1"/>
  <c r="J8" i="5"/>
  <c r="K8" i="5" s="1"/>
  <c r="L8" i="5" s="1"/>
  <c r="M7" i="5"/>
  <c r="N7" i="5" s="1"/>
  <c r="O7" i="5" s="1"/>
  <c r="J7" i="5"/>
  <c r="K7" i="5" s="1"/>
  <c r="L7" i="5" s="1"/>
  <c r="M6" i="5"/>
  <c r="N6" i="5" s="1"/>
  <c r="O6" i="5" s="1"/>
  <c r="J6" i="5"/>
  <c r="K6" i="5" s="1"/>
  <c r="L6" i="5" s="1"/>
  <c r="J123" i="3"/>
  <c r="K123" i="3" s="1"/>
  <c r="L123" i="3" s="1"/>
  <c r="M123" i="3"/>
  <c r="N123" i="3" s="1"/>
  <c r="O123" i="3" s="1"/>
  <c r="J124" i="3"/>
  <c r="K124" i="3" s="1"/>
  <c r="L124" i="3" s="1"/>
  <c r="M124" i="3"/>
  <c r="N124" i="3" s="1"/>
  <c r="O124" i="3" s="1"/>
  <c r="J125" i="3"/>
  <c r="K125" i="3" s="1"/>
  <c r="L125" i="3" s="1"/>
  <c r="M125" i="3"/>
  <c r="N125" i="3" s="1"/>
  <c r="O125" i="3" s="1"/>
  <c r="J126" i="3"/>
  <c r="K126" i="3" s="1"/>
  <c r="L126" i="3" s="1"/>
  <c r="M126" i="3"/>
  <c r="N126" i="3" s="1"/>
  <c r="O126" i="3" s="1"/>
  <c r="J127" i="3"/>
  <c r="K127" i="3" s="1"/>
  <c r="L127" i="3" s="1"/>
  <c r="M127" i="3"/>
  <c r="N127" i="3" s="1"/>
  <c r="O127" i="3" s="1"/>
  <c r="J128" i="3"/>
  <c r="K128" i="3" s="1"/>
  <c r="L128" i="3" s="1"/>
  <c r="M128" i="3"/>
  <c r="N128" i="3" s="1"/>
  <c r="O128" i="3" s="1"/>
  <c r="J129" i="3"/>
  <c r="K129" i="3" s="1"/>
  <c r="L129" i="3" s="1"/>
  <c r="M129" i="3"/>
  <c r="N129" i="3" s="1"/>
  <c r="O129" i="3" s="1"/>
  <c r="J130" i="3"/>
  <c r="K130" i="3" s="1"/>
  <c r="L130" i="3" s="1"/>
  <c r="M130" i="3"/>
  <c r="N130" i="3" s="1"/>
  <c r="O130" i="3" s="1"/>
  <c r="G109" i="3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99" i="3"/>
  <c r="G100" i="3" s="1"/>
  <c r="G101" i="3" s="1"/>
  <c r="G102" i="3" s="1"/>
  <c r="G103" i="3" s="1"/>
  <c r="G104" i="3" s="1"/>
  <c r="G105" i="3" s="1"/>
  <c r="G106" i="3" s="1"/>
  <c r="G107" i="3" s="1"/>
  <c r="J99" i="3"/>
  <c r="K99" i="3" s="1"/>
  <c r="M99" i="3"/>
  <c r="N99" i="3" s="1"/>
  <c r="J100" i="3"/>
  <c r="K100" i="3" s="1"/>
  <c r="M100" i="3"/>
  <c r="N100" i="3" s="1"/>
  <c r="J101" i="3"/>
  <c r="K101" i="3" s="1"/>
  <c r="M101" i="3"/>
  <c r="N101" i="3" s="1"/>
  <c r="J102" i="3"/>
  <c r="K102" i="3" s="1"/>
  <c r="M102" i="3"/>
  <c r="N102" i="3" s="1"/>
  <c r="J103" i="3"/>
  <c r="K103" i="3" s="1"/>
  <c r="M103" i="3"/>
  <c r="N103" i="3" s="1"/>
  <c r="J104" i="3"/>
  <c r="K104" i="3" s="1"/>
  <c r="M104" i="3"/>
  <c r="N104" i="3" s="1"/>
  <c r="J105" i="3"/>
  <c r="K105" i="3" s="1"/>
  <c r="M105" i="3"/>
  <c r="N105" i="3" s="1"/>
  <c r="J106" i="3"/>
  <c r="K106" i="3" s="1"/>
  <c r="M106" i="3"/>
  <c r="N106" i="3" s="1"/>
  <c r="J107" i="3"/>
  <c r="K107" i="3" s="1"/>
  <c r="M107" i="3"/>
  <c r="N107" i="3" s="1"/>
  <c r="J108" i="3"/>
  <c r="K108" i="3" s="1"/>
  <c r="L108" i="3" s="1"/>
  <c r="M108" i="3"/>
  <c r="N108" i="3" s="1"/>
  <c r="O108" i="3" s="1"/>
  <c r="J109" i="3"/>
  <c r="K109" i="3" s="1"/>
  <c r="M109" i="3"/>
  <c r="N109" i="3" s="1"/>
  <c r="J110" i="3"/>
  <c r="K110" i="3" s="1"/>
  <c r="M110" i="3"/>
  <c r="N110" i="3" s="1"/>
  <c r="J111" i="3"/>
  <c r="K111" i="3" s="1"/>
  <c r="M111" i="3"/>
  <c r="N111" i="3" s="1"/>
  <c r="J112" i="3"/>
  <c r="K112" i="3" s="1"/>
  <c r="M112" i="3"/>
  <c r="N112" i="3" s="1"/>
  <c r="J113" i="3"/>
  <c r="K113" i="3" s="1"/>
  <c r="M113" i="3"/>
  <c r="N113" i="3" s="1"/>
  <c r="J114" i="3"/>
  <c r="K114" i="3" s="1"/>
  <c r="M114" i="3"/>
  <c r="N114" i="3" s="1"/>
  <c r="J115" i="3"/>
  <c r="K115" i="3" s="1"/>
  <c r="M115" i="3"/>
  <c r="N115" i="3" s="1"/>
  <c r="J116" i="3"/>
  <c r="K116" i="3" s="1"/>
  <c r="M116" i="3"/>
  <c r="N116" i="3" s="1"/>
  <c r="J117" i="3"/>
  <c r="K117" i="3" s="1"/>
  <c r="M117" i="3"/>
  <c r="N117" i="3" s="1"/>
  <c r="J118" i="3"/>
  <c r="K118" i="3" s="1"/>
  <c r="M118" i="3"/>
  <c r="N118" i="3" s="1"/>
  <c r="O118" i="3" s="1"/>
  <c r="J119" i="3"/>
  <c r="K119" i="3" s="1"/>
  <c r="M119" i="3"/>
  <c r="N119" i="3" s="1"/>
  <c r="J120" i="3"/>
  <c r="K120" i="3" s="1"/>
  <c r="M120" i="3"/>
  <c r="N120" i="3" s="1"/>
  <c r="J121" i="3"/>
  <c r="K121" i="3" s="1"/>
  <c r="M121" i="3"/>
  <c r="N121" i="3" s="1"/>
  <c r="J122" i="3"/>
  <c r="K122" i="3" s="1"/>
  <c r="M122" i="3"/>
  <c r="N122" i="3" s="1"/>
  <c r="J96" i="3"/>
  <c r="K96" i="3" s="1"/>
  <c r="L96" i="3" s="1"/>
  <c r="M96" i="3"/>
  <c r="N96" i="3" s="1"/>
  <c r="O96" i="3" s="1"/>
  <c r="J97" i="3"/>
  <c r="K97" i="3" s="1"/>
  <c r="L97" i="3" s="1"/>
  <c r="M97" i="3"/>
  <c r="N97" i="3" s="1"/>
  <c r="O97" i="3" s="1"/>
  <c r="J98" i="3"/>
  <c r="K98" i="3" s="1"/>
  <c r="L98" i="3" s="1"/>
  <c r="M98" i="3"/>
  <c r="N98" i="3" s="1"/>
  <c r="O98" i="3" s="1"/>
  <c r="J95" i="3"/>
  <c r="K95" i="3" s="1"/>
  <c r="L95" i="3" s="1"/>
  <c r="M95" i="3"/>
  <c r="N95" i="3" s="1"/>
  <c r="O95" i="3" s="1"/>
  <c r="J71" i="3"/>
  <c r="K71" i="3" s="1"/>
  <c r="L71" i="3" s="1"/>
  <c r="M71" i="3"/>
  <c r="N71" i="3" s="1"/>
  <c r="O71" i="3" s="1"/>
  <c r="J72" i="3"/>
  <c r="K72" i="3" s="1"/>
  <c r="L72" i="3" s="1"/>
  <c r="M72" i="3"/>
  <c r="N72" i="3" s="1"/>
  <c r="O72" i="3" s="1"/>
  <c r="J73" i="3"/>
  <c r="K73" i="3" s="1"/>
  <c r="L73" i="3" s="1"/>
  <c r="M73" i="3"/>
  <c r="N73" i="3" s="1"/>
  <c r="O73" i="3" s="1"/>
  <c r="J74" i="3"/>
  <c r="K74" i="3" s="1"/>
  <c r="L74" i="3" s="1"/>
  <c r="M74" i="3"/>
  <c r="N74" i="3" s="1"/>
  <c r="O74" i="3" s="1"/>
  <c r="J75" i="3"/>
  <c r="K75" i="3" s="1"/>
  <c r="L75" i="3" s="1"/>
  <c r="M75" i="3"/>
  <c r="N75" i="3" s="1"/>
  <c r="O75" i="3" s="1"/>
  <c r="J76" i="3"/>
  <c r="K76" i="3" s="1"/>
  <c r="L76" i="3" s="1"/>
  <c r="M76" i="3"/>
  <c r="N76" i="3" s="1"/>
  <c r="O76" i="3" s="1"/>
  <c r="J77" i="3"/>
  <c r="K77" i="3" s="1"/>
  <c r="L77" i="3" s="1"/>
  <c r="M77" i="3"/>
  <c r="N77" i="3" s="1"/>
  <c r="O77" i="3" s="1"/>
  <c r="J78" i="3"/>
  <c r="K78" i="3" s="1"/>
  <c r="L78" i="3" s="1"/>
  <c r="M78" i="3"/>
  <c r="N78" i="3" s="1"/>
  <c r="O78" i="3" s="1"/>
  <c r="J79" i="3"/>
  <c r="K79" i="3" s="1"/>
  <c r="L79" i="3" s="1"/>
  <c r="M79" i="3"/>
  <c r="N79" i="3" s="1"/>
  <c r="O79" i="3" s="1"/>
  <c r="J80" i="3"/>
  <c r="K80" i="3" s="1"/>
  <c r="L80" i="3" s="1"/>
  <c r="M80" i="3"/>
  <c r="N80" i="3" s="1"/>
  <c r="O80" i="3" s="1"/>
  <c r="J81" i="3"/>
  <c r="K81" i="3" s="1"/>
  <c r="L81" i="3" s="1"/>
  <c r="M81" i="3"/>
  <c r="N81" i="3" s="1"/>
  <c r="O81" i="3" s="1"/>
  <c r="J82" i="3"/>
  <c r="K82" i="3" s="1"/>
  <c r="L82" i="3" s="1"/>
  <c r="M82" i="3"/>
  <c r="N82" i="3" s="1"/>
  <c r="O82" i="3" s="1"/>
  <c r="J83" i="3"/>
  <c r="K83" i="3" s="1"/>
  <c r="L83" i="3" s="1"/>
  <c r="M83" i="3"/>
  <c r="N83" i="3" s="1"/>
  <c r="O83" i="3" s="1"/>
  <c r="J84" i="3"/>
  <c r="K84" i="3" s="1"/>
  <c r="L84" i="3" s="1"/>
  <c r="M84" i="3"/>
  <c r="N84" i="3" s="1"/>
  <c r="O84" i="3" s="1"/>
  <c r="J85" i="3"/>
  <c r="K85" i="3" s="1"/>
  <c r="L85" i="3" s="1"/>
  <c r="M85" i="3"/>
  <c r="N85" i="3" s="1"/>
  <c r="O85" i="3" s="1"/>
  <c r="J87" i="3"/>
  <c r="K87" i="3" s="1"/>
  <c r="L87" i="3" s="1"/>
  <c r="M87" i="3"/>
  <c r="N87" i="3" s="1"/>
  <c r="O87" i="3" s="1"/>
  <c r="J88" i="3"/>
  <c r="K88" i="3" s="1"/>
  <c r="L88" i="3" s="1"/>
  <c r="M88" i="3"/>
  <c r="N88" i="3" s="1"/>
  <c r="O88" i="3" s="1"/>
  <c r="J93" i="3"/>
  <c r="K93" i="3" s="1"/>
  <c r="L93" i="3" s="1"/>
  <c r="M93" i="3"/>
  <c r="N93" i="3" s="1"/>
  <c r="O93" i="3" s="1"/>
  <c r="J94" i="3"/>
  <c r="K94" i="3" s="1"/>
  <c r="L94" i="3" s="1"/>
  <c r="M94" i="3"/>
  <c r="N94" i="3" s="1"/>
  <c r="O94" i="3" s="1"/>
  <c r="J58" i="3"/>
  <c r="K58" i="3" s="1"/>
  <c r="M58" i="3"/>
  <c r="N58" i="3" s="1"/>
  <c r="J59" i="3"/>
  <c r="K59" i="3" s="1"/>
  <c r="M59" i="3"/>
  <c r="N59" i="3" s="1"/>
  <c r="J60" i="3"/>
  <c r="K60" i="3" s="1"/>
  <c r="M60" i="3"/>
  <c r="N60" i="3" s="1"/>
  <c r="J61" i="3"/>
  <c r="K61" i="3" s="1"/>
  <c r="M61" i="3"/>
  <c r="N61" i="3" s="1"/>
  <c r="J62" i="3"/>
  <c r="K62" i="3" s="1"/>
  <c r="M62" i="3"/>
  <c r="N62" i="3" s="1"/>
  <c r="J63" i="3"/>
  <c r="K63" i="3" s="1"/>
  <c r="M63" i="3"/>
  <c r="N63" i="3" s="1"/>
  <c r="J64" i="3"/>
  <c r="K64" i="3" s="1"/>
  <c r="M64" i="3"/>
  <c r="N64" i="3" s="1"/>
  <c r="J65" i="3"/>
  <c r="K65" i="3" s="1"/>
  <c r="L65" i="3" s="1"/>
  <c r="M65" i="3"/>
  <c r="N65" i="3" s="1"/>
  <c r="O65" i="3" s="1"/>
  <c r="J66" i="3"/>
  <c r="K66" i="3" s="1"/>
  <c r="M66" i="3"/>
  <c r="N66" i="3" s="1"/>
  <c r="J67" i="3"/>
  <c r="K67" i="3" s="1"/>
  <c r="M67" i="3"/>
  <c r="N67" i="3" s="1"/>
  <c r="J68" i="3"/>
  <c r="K68" i="3" s="1"/>
  <c r="M68" i="3"/>
  <c r="N68" i="3" s="1"/>
  <c r="J69" i="3"/>
  <c r="K69" i="3" s="1"/>
  <c r="M69" i="3"/>
  <c r="N69" i="3" s="1"/>
  <c r="J70" i="3"/>
  <c r="K70" i="3" s="1"/>
  <c r="M70" i="3"/>
  <c r="N70" i="3" s="1"/>
  <c r="G66" i="3"/>
  <c r="G67" i="3" s="1"/>
  <c r="G68" i="3" s="1"/>
  <c r="G69" i="3" s="1"/>
  <c r="G70" i="3" s="1"/>
  <c r="G57" i="3"/>
  <c r="G58" i="3" s="1"/>
  <c r="G59" i="3" s="1"/>
  <c r="G60" i="3" s="1"/>
  <c r="G61" i="3" s="1"/>
  <c r="G62" i="3" s="1"/>
  <c r="G63" i="3" s="1"/>
  <c r="G64" i="3" s="1"/>
  <c r="J45" i="3"/>
  <c r="K45" i="3" s="1"/>
  <c r="L45" i="3" s="1"/>
  <c r="M45" i="3"/>
  <c r="N45" i="3" s="1"/>
  <c r="O45" i="3" s="1"/>
  <c r="J46" i="3"/>
  <c r="K46" i="3" s="1"/>
  <c r="M46" i="3"/>
  <c r="N46" i="3" s="1"/>
  <c r="J47" i="3"/>
  <c r="K47" i="3" s="1"/>
  <c r="M47" i="3"/>
  <c r="N47" i="3" s="1"/>
  <c r="J48" i="3"/>
  <c r="K48" i="3" s="1"/>
  <c r="M48" i="3"/>
  <c r="N48" i="3" s="1"/>
  <c r="J49" i="3"/>
  <c r="K49" i="3" s="1"/>
  <c r="M49" i="3"/>
  <c r="N49" i="3" s="1"/>
  <c r="J50" i="3"/>
  <c r="K50" i="3" s="1"/>
  <c r="M50" i="3"/>
  <c r="N50" i="3" s="1"/>
  <c r="J51" i="3"/>
  <c r="K51" i="3" s="1"/>
  <c r="M51" i="3"/>
  <c r="N51" i="3" s="1"/>
  <c r="J52" i="3"/>
  <c r="K52" i="3" s="1"/>
  <c r="M52" i="3"/>
  <c r="N52" i="3" s="1"/>
  <c r="J53" i="3"/>
  <c r="K53" i="3" s="1"/>
  <c r="M53" i="3"/>
  <c r="N53" i="3" s="1"/>
  <c r="J54" i="3"/>
  <c r="K54" i="3" s="1"/>
  <c r="M54" i="3"/>
  <c r="N54" i="3" s="1"/>
  <c r="J56" i="3"/>
  <c r="K56" i="3" s="1"/>
  <c r="L56" i="3" s="1"/>
  <c r="M56" i="3"/>
  <c r="N56" i="3" s="1"/>
  <c r="O56" i="3" s="1"/>
  <c r="J57" i="3"/>
  <c r="K57" i="3" s="1"/>
  <c r="M57" i="3"/>
  <c r="N57" i="3" s="1"/>
  <c r="G46" i="3"/>
  <c r="G47" i="3" s="1"/>
  <c r="G48" i="3" s="1"/>
  <c r="G49" i="3" s="1"/>
  <c r="G50" i="3" s="1"/>
  <c r="G51" i="3" s="1"/>
  <c r="G52" i="3" s="1"/>
  <c r="G53" i="3" s="1"/>
  <c r="G54" i="3" s="1"/>
  <c r="G13" i="3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8" i="3"/>
  <c r="G29" i="3" s="1"/>
  <c r="G30" i="3" s="1"/>
  <c r="G31" i="3" s="1"/>
  <c r="G32" i="3" s="1"/>
  <c r="J14" i="3"/>
  <c r="K14" i="3" s="1"/>
  <c r="M14" i="3"/>
  <c r="N14" i="3" s="1"/>
  <c r="J15" i="3"/>
  <c r="K15" i="3" s="1"/>
  <c r="M15" i="3"/>
  <c r="N15" i="3" s="1"/>
  <c r="J16" i="3"/>
  <c r="K16" i="3" s="1"/>
  <c r="M16" i="3"/>
  <c r="N16" i="3" s="1"/>
  <c r="J17" i="3"/>
  <c r="K17" i="3" s="1"/>
  <c r="M17" i="3"/>
  <c r="N17" i="3" s="1"/>
  <c r="J18" i="3"/>
  <c r="K18" i="3" s="1"/>
  <c r="M18" i="3"/>
  <c r="N18" i="3" s="1"/>
  <c r="J19" i="3"/>
  <c r="K19" i="3" s="1"/>
  <c r="M19" i="3"/>
  <c r="N19" i="3" s="1"/>
  <c r="J20" i="3"/>
  <c r="K20" i="3" s="1"/>
  <c r="M20" i="3"/>
  <c r="N20" i="3" s="1"/>
  <c r="J21" i="3"/>
  <c r="K21" i="3" s="1"/>
  <c r="M21" i="3"/>
  <c r="N21" i="3" s="1"/>
  <c r="J22" i="3"/>
  <c r="K22" i="3" s="1"/>
  <c r="M22" i="3"/>
  <c r="N22" i="3" s="1"/>
  <c r="J23" i="3"/>
  <c r="K23" i="3" s="1"/>
  <c r="M23" i="3"/>
  <c r="N23" i="3" s="1"/>
  <c r="J24" i="3"/>
  <c r="K24" i="3" s="1"/>
  <c r="M24" i="3"/>
  <c r="N24" i="3" s="1"/>
  <c r="J25" i="3"/>
  <c r="K25" i="3" s="1"/>
  <c r="M25" i="3"/>
  <c r="N25" i="3" s="1"/>
  <c r="J26" i="3"/>
  <c r="K26" i="3" s="1"/>
  <c r="M26" i="3"/>
  <c r="N26" i="3" s="1"/>
  <c r="J27" i="3"/>
  <c r="K27" i="3" s="1"/>
  <c r="L27" i="3" s="1"/>
  <c r="M27" i="3"/>
  <c r="N27" i="3" s="1"/>
  <c r="O27" i="3" s="1"/>
  <c r="J28" i="3"/>
  <c r="K28" i="3" s="1"/>
  <c r="M28" i="3"/>
  <c r="N28" i="3" s="1"/>
  <c r="J29" i="3"/>
  <c r="K29" i="3" s="1"/>
  <c r="M29" i="3"/>
  <c r="N29" i="3" s="1"/>
  <c r="J30" i="3"/>
  <c r="K30" i="3" s="1"/>
  <c r="M30" i="3"/>
  <c r="N30" i="3" s="1"/>
  <c r="J31" i="3"/>
  <c r="K31" i="3" s="1"/>
  <c r="M31" i="3"/>
  <c r="N31" i="3" s="1"/>
  <c r="J32" i="3"/>
  <c r="K32" i="3" s="1"/>
  <c r="M32" i="3"/>
  <c r="N32" i="3" s="1"/>
  <c r="J33" i="3"/>
  <c r="K33" i="3" s="1"/>
  <c r="L33" i="3" s="1"/>
  <c r="M33" i="3"/>
  <c r="N33" i="3" s="1"/>
  <c r="O33" i="3" s="1"/>
  <c r="J34" i="3"/>
  <c r="K34" i="3" s="1"/>
  <c r="L34" i="3" s="1"/>
  <c r="M34" i="3"/>
  <c r="N34" i="3" s="1"/>
  <c r="O34" i="3" s="1"/>
  <c r="J35" i="3"/>
  <c r="K35" i="3" s="1"/>
  <c r="L35" i="3" s="1"/>
  <c r="M35" i="3"/>
  <c r="N35" i="3" s="1"/>
  <c r="O35" i="3" s="1"/>
  <c r="J36" i="3"/>
  <c r="K36" i="3" s="1"/>
  <c r="L36" i="3" s="1"/>
  <c r="M36" i="3"/>
  <c r="N36" i="3" s="1"/>
  <c r="O36" i="3" s="1"/>
  <c r="J37" i="3"/>
  <c r="K37" i="3" s="1"/>
  <c r="L37" i="3" s="1"/>
  <c r="M37" i="3"/>
  <c r="N37" i="3" s="1"/>
  <c r="O37" i="3" s="1"/>
  <c r="J38" i="3"/>
  <c r="K38" i="3" s="1"/>
  <c r="L38" i="3" s="1"/>
  <c r="M38" i="3"/>
  <c r="N38" i="3" s="1"/>
  <c r="O38" i="3" s="1"/>
  <c r="J39" i="3"/>
  <c r="K39" i="3" s="1"/>
  <c r="L39" i="3" s="1"/>
  <c r="M39" i="3"/>
  <c r="N39" i="3" s="1"/>
  <c r="O39" i="3" s="1"/>
  <c r="J41" i="3"/>
  <c r="K41" i="3" s="1"/>
  <c r="L41" i="3" s="1"/>
  <c r="M41" i="3"/>
  <c r="N41" i="3" s="1"/>
  <c r="O41" i="3" s="1"/>
  <c r="J42" i="3"/>
  <c r="K42" i="3" s="1"/>
  <c r="L42" i="3" s="1"/>
  <c r="M42" i="3"/>
  <c r="N42" i="3" s="1"/>
  <c r="O42" i="3" s="1"/>
  <c r="J43" i="3"/>
  <c r="K43" i="3" s="1"/>
  <c r="L43" i="3" s="1"/>
  <c r="M43" i="3"/>
  <c r="N43" i="3" s="1"/>
  <c r="O43" i="3" s="1"/>
  <c r="J44" i="3"/>
  <c r="K44" i="3" s="1"/>
  <c r="L44" i="3" s="1"/>
  <c r="M44" i="3"/>
  <c r="N44" i="3" s="1"/>
  <c r="O44" i="3" s="1"/>
  <c r="M13" i="3"/>
  <c r="N13" i="3" s="1"/>
  <c r="M12" i="3"/>
  <c r="N12" i="3" s="1"/>
  <c r="O12" i="3" s="1"/>
  <c r="M11" i="3"/>
  <c r="N11" i="3" s="1"/>
  <c r="O11" i="3" s="1"/>
  <c r="M10" i="3"/>
  <c r="N10" i="3" s="1"/>
  <c r="O10" i="3" s="1"/>
  <c r="M9" i="3"/>
  <c r="N9" i="3" s="1"/>
  <c r="O9" i="3" s="1"/>
  <c r="M8" i="3"/>
  <c r="N8" i="3" s="1"/>
  <c r="O8" i="3" s="1"/>
  <c r="M7" i="3"/>
  <c r="N7" i="3" s="1"/>
  <c r="O7" i="3" s="1"/>
  <c r="M6" i="3"/>
  <c r="N6" i="3" s="1"/>
  <c r="O6" i="3" s="1"/>
  <c r="J13" i="3"/>
  <c r="K13" i="3" s="1"/>
  <c r="J12" i="3"/>
  <c r="K12" i="3" s="1"/>
  <c r="L12" i="3" s="1"/>
  <c r="J11" i="3"/>
  <c r="J10" i="3"/>
  <c r="J9" i="3"/>
  <c r="K9" i="3" s="1"/>
  <c r="L9" i="3" s="1"/>
  <c r="J8" i="3"/>
  <c r="K8" i="3" s="1"/>
  <c r="L8" i="3" s="1"/>
  <c r="J7" i="3"/>
  <c r="K7" i="3" s="1"/>
  <c r="L7" i="3" s="1"/>
  <c r="J6" i="3"/>
  <c r="K6" i="3" s="1"/>
  <c r="L6" i="3" s="1"/>
  <c r="E10" i="3"/>
  <c r="E11" i="3" s="1"/>
  <c r="K150" i="5" l="1"/>
  <c r="L150" i="5" s="1"/>
  <c r="N225" i="5"/>
  <c r="O225" i="5" s="1"/>
  <c r="K364" i="5"/>
  <c r="L364" i="5" s="1"/>
  <c r="K336" i="5"/>
  <c r="L336" i="5" s="1"/>
  <c r="N338" i="5"/>
  <c r="O338" i="5" s="1"/>
  <c r="K360" i="5"/>
  <c r="L360" i="5" s="1"/>
  <c r="K149" i="5"/>
  <c r="L149" i="5" s="1"/>
  <c r="N149" i="5"/>
  <c r="O149" i="5" s="1"/>
  <c r="N219" i="5"/>
  <c r="O219" i="5" s="1"/>
  <c r="K210" i="5"/>
  <c r="L210" i="5" s="1"/>
  <c r="N148" i="5"/>
  <c r="O148" i="5" s="1"/>
  <c r="K148" i="5"/>
  <c r="L148" i="5" s="1"/>
  <c r="N366" i="5"/>
  <c r="O366" i="5" s="1"/>
  <c r="O354" i="5"/>
  <c r="O102" i="5"/>
  <c r="N132" i="5"/>
  <c r="O132" i="5" s="1"/>
  <c r="N146" i="5"/>
  <c r="O146" i="5" s="1"/>
  <c r="K146" i="5"/>
  <c r="L146" i="5" s="1"/>
  <c r="O104" i="5"/>
  <c r="N164" i="5"/>
  <c r="O164" i="5" s="1"/>
  <c r="N179" i="5"/>
  <c r="O179" i="5" s="1"/>
  <c r="K164" i="5"/>
  <c r="L164" i="5" s="1"/>
  <c r="N163" i="5"/>
  <c r="O163" i="5" s="1"/>
  <c r="K163" i="5"/>
  <c r="L163" i="5" s="1"/>
  <c r="N156" i="5"/>
  <c r="O156" i="5" s="1"/>
  <c r="N177" i="5"/>
  <c r="O177" i="5" s="1"/>
  <c r="N154" i="5"/>
  <c r="K179" i="5"/>
  <c r="L179" i="5" s="1"/>
  <c r="K118" i="5"/>
  <c r="L118" i="5" s="1"/>
  <c r="L232" i="5"/>
  <c r="K142" i="5"/>
  <c r="L142" i="5" s="1"/>
  <c r="K134" i="5"/>
  <c r="L134" i="5" s="1"/>
  <c r="N173" i="5"/>
  <c r="K177" i="5"/>
  <c r="L177" i="5" s="1"/>
  <c r="N134" i="5"/>
  <c r="O134" i="5" s="1"/>
  <c r="K128" i="5"/>
  <c r="L128" i="5" s="1"/>
  <c r="N130" i="5"/>
  <c r="K112" i="5"/>
  <c r="L112" i="5" s="1"/>
  <c r="N175" i="5"/>
  <c r="N142" i="5"/>
  <c r="O142" i="5" s="1"/>
  <c r="N110" i="5"/>
  <c r="O110" i="5" s="1"/>
  <c r="K109" i="5"/>
  <c r="L109" i="5" s="1"/>
  <c r="K120" i="5"/>
  <c r="L120" i="5" s="1"/>
  <c r="N160" i="5"/>
  <c r="N344" i="5"/>
  <c r="O344" i="5" s="1"/>
  <c r="K346" i="5"/>
  <c r="L346" i="5" s="1"/>
  <c r="N346" i="5"/>
  <c r="O346" i="5" s="1"/>
  <c r="N348" i="5"/>
  <c r="O348" i="5" s="1"/>
  <c r="K354" i="5"/>
  <c r="L354" i="5" s="1"/>
  <c r="K356" i="5"/>
  <c r="L356" i="5" s="1"/>
  <c r="K376" i="5"/>
  <c r="L376" i="5" s="1"/>
  <c r="N342" i="5"/>
  <c r="K344" i="5"/>
  <c r="L344" i="5" s="1"/>
  <c r="K348" i="5"/>
  <c r="L348" i="5" s="1"/>
  <c r="K350" i="5"/>
  <c r="L350" i="5" s="1"/>
  <c r="K352" i="5"/>
  <c r="L352" i="5" s="1"/>
  <c r="O352" i="5"/>
  <c r="O356" i="5"/>
  <c r="K110" i="5"/>
  <c r="L110" i="5" s="1"/>
  <c r="K98" i="5"/>
  <c r="K103" i="5"/>
  <c r="L103" i="5" s="1"/>
  <c r="K160" i="5"/>
  <c r="L160" i="5" s="1"/>
  <c r="K102" i="5"/>
  <c r="N112" i="5"/>
  <c r="N116" i="5"/>
  <c r="O116" i="5" s="1"/>
  <c r="K169" i="5"/>
  <c r="L169" i="5" s="1"/>
  <c r="K171" i="5"/>
  <c r="L171" i="5" s="1"/>
  <c r="N334" i="5"/>
  <c r="O334" i="5" s="1"/>
  <c r="K340" i="5"/>
  <c r="L340" i="5" s="1"/>
  <c r="O340" i="5"/>
  <c r="O360" i="5"/>
  <c r="N362" i="5"/>
  <c r="O362" i="5" s="1"/>
  <c r="N368" i="5"/>
  <c r="O368" i="5" s="1"/>
  <c r="K370" i="5"/>
  <c r="L370" i="5" s="1"/>
  <c r="K372" i="5"/>
  <c r="L372" i="5" s="1"/>
  <c r="N374" i="5"/>
  <c r="O374" i="5" s="1"/>
  <c r="N221" i="5"/>
  <c r="O221" i="5" s="1"/>
  <c r="O364" i="5"/>
  <c r="K366" i="5"/>
  <c r="L366" i="5" s="1"/>
  <c r="K368" i="5"/>
  <c r="L368" i="5" s="1"/>
  <c r="N370" i="5"/>
  <c r="O370" i="5" s="1"/>
  <c r="N372" i="5"/>
  <c r="O372" i="5" s="1"/>
  <c r="K374" i="5"/>
  <c r="L374" i="5" s="1"/>
  <c r="N376" i="5"/>
  <c r="O376" i="5" s="1"/>
  <c r="N99" i="5"/>
  <c r="N101" i="5"/>
  <c r="K117" i="5"/>
  <c r="N138" i="5"/>
  <c r="K162" i="5"/>
  <c r="L162" i="5" s="1"/>
  <c r="N169" i="5"/>
  <c r="O169" i="5" s="1"/>
  <c r="N171" i="5"/>
  <c r="O171" i="5" s="1"/>
  <c r="K155" i="5"/>
  <c r="L155" i="5" s="1"/>
  <c r="K135" i="5"/>
  <c r="N136" i="5"/>
  <c r="K158" i="5"/>
  <c r="L158" i="5" s="1"/>
  <c r="N162" i="5"/>
  <c r="O162" i="5" s="1"/>
  <c r="N167" i="5"/>
  <c r="O167" i="5" s="1"/>
  <c r="K288" i="5"/>
  <c r="L288" i="5" s="1"/>
  <c r="K310" i="5"/>
  <c r="L310" i="5" s="1"/>
  <c r="N310" i="5"/>
  <c r="O310" i="5" s="1"/>
  <c r="K316" i="5"/>
  <c r="L316" i="5" s="1"/>
  <c r="K322" i="5"/>
  <c r="L322" i="5" s="1"/>
  <c r="K296" i="5"/>
  <c r="L296" i="5" s="1"/>
  <c r="N312" i="5"/>
  <c r="O312" i="5" s="1"/>
  <c r="K314" i="5"/>
  <c r="L314" i="5" s="1"/>
  <c r="K318" i="5"/>
  <c r="L318" i="5" s="1"/>
  <c r="K320" i="5"/>
  <c r="L320" i="5" s="1"/>
  <c r="L99" i="5"/>
  <c r="K100" i="5"/>
  <c r="O100" i="5"/>
  <c r="N103" i="5"/>
  <c r="O103" i="5" s="1"/>
  <c r="K119" i="5"/>
  <c r="K123" i="5"/>
  <c r="K125" i="5"/>
  <c r="L125" i="5" s="1"/>
  <c r="N126" i="5"/>
  <c r="O126" i="5" s="1"/>
  <c r="K127" i="5"/>
  <c r="L127" i="5" s="1"/>
  <c r="K136" i="5"/>
  <c r="L136" i="5" s="1"/>
  <c r="K143" i="5"/>
  <c r="L143" i="5" s="1"/>
  <c r="K195" i="5"/>
  <c r="L195" i="5" s="1"/>
  <c r="N276" i="5"/>
  <c r="K299" i="5"/>
  <c r="O306" i="5"/>
  <c r="K308" i="5"/>
  <c r="L308" i="5" s="1"/>
  <c r="K312" i="5"/>
  <c r="L312" i="5" s="1"/>
  <c r="N316" i="5"/>
  <c r="O316" i="5" s="1"/>
  <c r="N318" i="5"/>
  <c r="O318" i="5" s="1"/>
  <c r="N155" i="5"/>
  <c r="O155" i="5" s="1"/>
  <c r="L97" i="5"/>
  <c r="O98" i="5"/>
  <c r="N105" i="5"/>
  <c r="O105" i="5" s="1"/>
  <c r="N107" i="5"/>
  <c r="O107" i="5" s="1"/>
  <c r="K108" i="5"/>
  <c r="L108" i="5" s="1"/>
  <c r="N118" i="5"/>
  <c r="O118" i="5" s="1"/>
  <c r="N120" i="5"/>
  <c r="N122" i="5"/>
  <c r="O122" i="5" s="1"/>
  <c r="N124" i="5"/>
  <c r="O124" i="5" s="1"/>
  <c r="K126" i="5"/>
  <c r="L126" i="5" s="1"/>
  <c r="K133" i="5"/>
  <c r="K139" i="5"/>
  <c r="N186" i="5"/>
  <c r="N189" i="5"/>
  <c r="O189" i="5" s="1"/>
  <c r="K270" i="5"/>
  <c r="L270" i="5" s="1"/>
  <c r="K290" i="5"/>
  <c r="L290" i="5" s="1"/>
  <c r="K298" i="5"/>
  <c r="L298" i="5" s="1"/>
  <c r="K306" i="5"/>
  <c r="L306" i="5" s="1"/>
  <c r="N308" i="5"/>
  <c r="O308" i="5" s="1"/>
  <c r="N314" i="5"/>
  <c r="O314" i="5" s="1"/>
  <c r="N320" i="5"/>
  <c r="O320" i="5" s="1"/>
  <c r="K106" i="5"/>
  <c r="L106" i="5" s="1"/>
  <c r="N109" i="5"/>
  <c r="O109" i="5" s="1"/>
  <c r="N114" i="5"/>
  <c r="O114" i="5" s="1"/>
  <c r="K129" i="5"/>
  <c r="L129" i="5" s="1"/>
  <c r="N140" i="5"/>
  <c r="O140" i="5" s="1"/>
  <c r="K144" i="5"/>
  <c r="L144" i="5" s="1"/>
  <c r="N195" i="5"/>
  <c r="O195" i="5" s="1"/>
  <c r="L208" i="5"/>
  <c r="N208" i="5"/>
  <c r="O208" i="5" s="1"/>
  <c r="L212" i="5"/>
  <c r="L214" i="5"/>
  <c r="L226" i="5"/>
  <c r="N227" i="5"/>
  <c r="O227" i="5" s="1"/>
  <c r="L273" i="5"/>
  <c r="N278" i="5"/>
  <c r="O278" i="5" s="1"/>
  <c r="K280" i="5"/>
  <c r="L280" i="5" s="1"/>
  <c r="K284" i="5"/>
  <c r="L284" i="5" s="1"/>
  <c r="K292" i="5"/>
  <c r="L292" i="5" s="1"/>
  <c r="K302" i="5"/>
  <c r="L302" i="5" s="1"/>
  <c r="N193" i="5"/>
  <c r="O193" i="5" s="1"/>
  <c r="K206" i="5"/>
  <c r="L206" i="5" s="1"/>
  <c r="N304" i="5"/>
  <c r="O304" i="5" s="1"/>
  <c r="L283" i="5"/>
  <c r="N285" i="5"/>
  <c r="O285" i="5" s="1"/>
  <c r="K289" i="5"/>
  <c r="L289" i="5" s="1"/>
  <c r="K294" i="5"/>
  <c r="L294" i="5" s="1"/>
  <c r="N287" i="5"/>
  <c r="O287" i="5" s="1"/>
  <c r="K291" i="5"/>
  <c r="L291" i="5" s="1"/>
  <c r="N296" i="5"/>
  <c r="O296" i="5" s="1"/>
  <c r="L279" i="5"/>
  <c r="N288" i="5"/>
  <c r="O288" i="5" s="1"/>
  <c r="N294" i="5"/>
  <c r="O294" i="5" s="1"/>
  <c r="K295" i="5"/>
  <c r="L295" i="5" s="1"/>
  <c r="L175" i="5"/>
  <c r="N97" i="5"/>
  <c r="O97" i="5" s="1"/>
  <c r="K101" i="5"/>
  <c r="L101" i="5" s="1"/>
  <c r="K104" i="5"/>
  <c r="L104" i="5" s="1"/>
  <c r="K111" i="5"/>
  <c r="L111" i="5" s="1"/>
  <c r="K113" i="5"/>
  <c r="L113" i="5" s="1"/>
  <c r="K115" i="5"/>
  <c r="L115" i="5" s="1"/>
  <c r="K121" i="5"/>
  <c r="L121" i="5" s="1"/>
  <c r="N128" i="5"/>
  <c r="O128" i="5" s="1"/>
  <c r="K131" i="5"/>
  <c r="L131" i="5" s="1"/>
  <c r="K137" i="5"/>
  <c r="L137" i="5" s="1"/>
  <c r="K141" i="5"/>
  <c r="L141" i="5" s="1"/>
  <c r="N143" i="5"/>
  <c r="O143" i="5" s="1"/>
  <c r="K157" i="5"/>
  <c r="L157" i="5" s="1"/>
  <c r="L216" i="5"/>
  <c r="L220" i="5"/>
  <c r="L224" i="5"/>
  <c r="N272" i="5"/>
  <c r="O272" i="5" s="1"/>
  <c r="N281" i="5"/>
  <c r="O281" i="5" s="1"/>
  <c r="N282" i="5"/>
  <c r="O282" i="5" s="1"/>
  <c r="N283" i="5"/>
  <c r="O283" i="5" s="1"/>
  <c r="N284" i="5"/>
  <c r="O284" i="5" s="1"/>
  <c r="L287" i="5"/>
  <c r="N292" i="5"/>
  <c r="O292" i="5" s="1"/>
  <c r="K293" i="5"/>
  <c r="L293" i="5" s="1"/>
  <c r="K297" i="5"/>
  <c r="L297" i="5" s="1"/>
  <c r="K300" i="5"/>
  <c r="L300" i="5" s="1"/>
  <c r="N300" i="5"/>
  <c r="O300" i="5" s="1"/>
  <c r="K304" i="5"/>
  <c r="L304" i="5" s="1"/>
  <c r="K153" i="5"/>
  <c r="L153" i="5" s="1"/>
  <c r="N158" i="5"/>
  <c r="O158" i="5" s="1"/>
  <c r="K159" i="5"/>
  <c r="L159" i="5" s="1"/>
  <c r="L209" i="5"/>
  <c r="L218" i="5"/>
  <c r="L222" i="5"/>
  <c r="L228" i="5"/>
  <c r="N244" i="5"/>
  <c r="O244" i="5" s="1"/>
  <c r="N274" i="5"/>
  <c r="O274" i="5" s="1"/>
  <c r="L275" i="5"/>
  <c r="K276" i="5"/>
  <c r="L276" i="5" s="1"/>
  <c r="N280" i="5"/>
  <c r="O280" i="5" s="1"/>
  <c r="L285" i="5"/>
  <c r="K286" i="5"/>
  <c r="L286" i="5" s="1"/>
  <c r="N286" i="5"/>
  <c r="O286" i="5" s="1"/>
  <c r="N290" i="5"/>
  <c r="O290" i="5" s="1"/>
  <c r="O298" i="5"/>
  <c r="N302" i="5"/>
  <c r="O302" i="5" s="1"/>
  <c r="K12" i="5"/>
  <c r="L12" i="5" s="1"/>
  <c r="L236" i="5"/>
  <c r="G237" i="5"/>
  <c r="G238" i="5" s="1"/>
  <c r="G239" i="5" s="1"/>
  <c r="G240" i="5" s="1"/>
  <c r="G241" i="5" s="1"/>
  <c r="O241" i="5" s="1"/>
  <c r="L235" i="5"/>
  <c r="O234" i="5"/>
  <c r="L234" i="5"/>
  <c r="O236" i="5"/>
  <c r="L233" i="5"/>
  <c r="O233" i="5"/>
  <c r="O232" i="5"/>
  <c r="O235" i="5"/>
  <c r="L109" i="3"/>
  <c r="L13" i="3"/>
  <c r="O99" i="3"/>
  <c r="O13" i="3"/>
  <c r="O66" i="3"/>
  <c r="L57" i="3"/>
  <c r="O109" i="3"/>
  <c r="O57" i="3"/>
  <c r="O64" i="3"/>
  <c r="L66" i="3"/>
  <c r="O60" i="3"/>
  <c r="L46" i="3"/>
  <c r="L70" i="3"/>
  <c r="O69" i="3"/>
  <c r="L28" i="3"/>
  <c r="O58" i="3"/>
  <c r="L99" i="3"/>
  <c r="L52" i="3"/>
  <c r="L47" i="3"/>
  <c r="O68" i="3"/>
  <c r="L64" i="3"/>
  <c r="O50" i="3"/>
  <c r="L48" i="3"/>
  <c r="L62" i="3"/>
  <c r="L53" i="3"/>
  <c r="L49" i="3"/>
  <c r="O61" i="3"/>
  <c r="L59" i="3"/>
  <c r="L110" i="3"/>
  <c r="L100" i="3"/>
  <c r="L54" i="3"/>
  <c r="O52" i="3"/>
  <c r="L51" i="3"/>
  <c r="L50" i="3"/>
  <c r="O47" i="3"/>
  <c r="O46" i="3"/>
  <c r="L69" i="3"/>
  <c r="O67" i="3"/>
  <c r="L60" i="3"/>
  <c r="O103" i="3"/>
  <c r="O101" i="3"/>
  <c r="O51" i="3"/>
  <c r="L68" i="3"/>
  <c r="O62" i="3"/>
  <c r="L58" i="3"/>
  <c r="O28" i="3"/>
  <c r="O26" i="3"/>
  <c r="O24" i="3"/>
  <c r="O22" i="3"/>
  <c r="O20" i="3"/>
  <c r="O18" i="3"/>
  <c r="O16" i="3"/>
  <c r="O48" i="3"/>
  <c r="O63" i="3"/>
  <c r="L61" i="3"/>
  <c r="O59" i="3"/>
  <c r="L101" i="3"/>
  <c r="O54" i="3"/>
  <c r="O53" i="3"/>
  <c r="O49" i="3"/>
  <c r="O70" i="3"/>
  <c r="L67" i="3"/>
  <c r="L63" i="3"/>
  <c r="O110" i="3"/>
  <c r="O100" i="3"/>
  <c r="L122" i="3"/>
  <c r="O114" i="3"/>
  <c r="O121" i="3"/>
  <c r="L118" i="3"/>
  <c r="L116" i="3"/>
  <c r="L114" i="3"/>
  <c r="L112" i="3"/>
  <c r="L121" i="3"/>
  <c r="O119" i="3"/>
  <c r="O117" i="3"/>
  <c r="O115" i="3"/>
  <c r="O113" i="3"/>
  <c r="O111" i="3"/>
  <c r="L120" i="3"/>
  <c r="O116" i="3"/>
  <c r="O112" i="3"/>
  <c r="O122" i="3"/>
  <c r="O120" i="3"/>
  <c r="L119" i="3"/>
  <c r="L117" i="3"/>
  <c r="L115" i="3"/>
  <c r="L113" i="3"/>
  <c r="L111" i="3"/>
  <c r="O107" i="3"/>
  <c r="O105" i="3"/>
  <c r="L107" i="3"/>
  <c r="L105" i="3"/>
  <c r="L103" i="3"/>
  <c r="O106" i="3"/>
  <c r="O104" i="3"/>
  <c r="O102" i="3"/>
  <c r="L106" i="3"/>
  <c r="L104" i="3"/>
  <c r="L102" i="3"/>
  <c r="O25" i="3"/>
  <c r="O23" i="3"/>
  <c r="O21" i="3"/>
  <c r="O19" i="3"/>
  <c r="O17" i="3"/>
  <c r="L25" i="3"/>
  <c r="L23" i="3"/>
  <c r="L21" i="3"/>
  <c r="L19" i="3"/>
  <c r="K10" i="3"/>
  <c r="L10" i="3" s="1"/>
  <c r="O32" i="3"/>
  <c r="O30" i="3"/>
  <c r="K11" i="3"/>
  <c r="L11" i="3" s="1"/>
  <c r="L32" i="3"/>
  <c r="L30" i="3"/>
  <c r="O31" i="3"/>
  <c r="O15" i="3"/>
  <c r="O29" i="3"/>
  <c r="L31" i="3"/>
  <c r="L29" i="3"/>
  <c r="L17" i="3"/>
  <c r="L15" i="3"/>
  <c r="O14" i="3"/>
  <c r="L26" i="3"/>
  <c r="L24" i="3"/>
  <c r="L22" i="3"/>
  <c r="L20" i="3"/>
  <c r="L18" i="3"/>
  <c r="L16" i="3"/>
  <c r="L14" i="3"/>
  <c r="O239" i="5" l="1"/>
  <c r="O238" i="5"/>
  <c r="O240" i="5"/>
  <c r="L241" i="5"/>
  <c r="O160" i="5"/>
  <c r="O186" i="5"/>
  <c r="L100" i="5"/>
  <c r="L119" i="5"/>
  <c r="L123" i="5"/>
  <c r="O175" i="5"/>
  <c r="O130" i="5"/>
  <c r="O173" i="5"/>
  <c r="O342" i="5"/>
  <c r="L98" i="5"/>
  <c r="O154" i="5"/>
  <c r="O120" i="5"/>
  <c r="L139" i="5"/>
  <c r="L102" i="5"/>
  <c r="L133" i="5"/>
  <c r="L135" i="5"/>
  <c r="O138" i="5"/>
  <c r="L299" i="5"/>
  <c r="O99" i="5"/>
  <c r="O101" i="5"/>
  <c r="O112" i="5"/>
  <c r="O136" i="5"/>
  <c r="L117" i="5"/>
  <c r="O276" i="5"/>
  <c r="L240" i="5"/>
  <c r="L239" i="5"/>
  <c r="O237" i="5"/>
  <c r="L237" i="5"/>
  <c r="L238" i="5"/>
  <c r="G242" i="5" l="1"/>
  <c r="L242" i="5" l="1"/>
  <c r="O242" i="5"/>
</calcChain>
</file>

<file path=xl/sharedStrings.xml><?xml version="1.0" encoding="utf-8"?>
<sst xmlns="http://schemas.openxmlformats.org/spreadsheetml/2006/main" count="2652" uniqueCount="470">
  <si>
    <t>Office Equipments</t>
  </si>
  <si>
    <t>Vehicle</t>
  </si>
  <si>
    <t>Computer and peripherals</t>
  </si>
  <si>
    <t>W</t>
  </si>
  <si>
    <t>R</t>
  </si>
  <si>
    <t>V</t>
  </si>
  <si>
    <t>Rent deposit-2</t>
  </si>
  <si>
    <t>Rent deposit-1</t>
  </si>
  <si>
    <t>Rent Deposit</t>
  </si>
  <si>
    <t>Landowner-2</t>
  </si>
  <si>
    <t>Landowner-1</t>
  </si>
  <si>
    <t>Refundable Deposit- Landowner</t>
  </si>
  <si>
    <t>Deposit</t>
  </si>
  <si>
    <t>U</t>
  </si>
  <si>
    <t>Kotak COLLECTION AC--0550151702</t>
  </si>
  <si>
    <t>Kotak RERA AC---0550151719</t>
  </si>
  <si>
    <t>Kotak Main Operation Ac--0550151689</t>
  </si>
  <si>
    <t>Kotak Mahindra Bank A/c- 0549232672</t>
  </si>
  <si>
    <t>ICICI BANK A/C- 026305008761</t>
  </si>
  <si>
    <t>T</t>
  </si>
  <si>
    <t>Professional Tax</t>
  </si>
  <si>
    <t>Income Tax</t>
  </si>
  <si>
    <t>Government Duties &amp; Taxes Paid</t>
  </si>
  <si>
    <t>S</t>
  </si>
  <si>
    <t>Employees Advance</t>
  </si>
  <si>
    <t>Director Advance receivable</t>
  </si>
  <si>
    <t>Related Party Advance Receivable</t>
  </si>
  <si>
    <t>Third Party Advance Receivable</t>
  </si>
  <si>
    <t>Loans &amp; Advances Given</t>
  </si>
  <si>
    <t>Loans and Advance</t>
  </si>
  <si>
    <t>Q</t>
  </si>
  <si>
    <t>NOC Charges (FOR ELEVATION)</t>
  </si>
  <si>
    <t>Blast permission</t>
  </si>
  <si>
    <t>Royalty for excavation</t>
  </si>
  <si>
    <t>Parivesh Fees</t>
  </si>
  <si>
    <t>Height/elevation NOC</t>
  </si>
  <si>
    <t>Water NOC</t>
  </si>
  <si>
    <t>Drainage NOC</t>
  </si>
  <si>
    <t>Garden NOC</t>
  </si>
  <si>
    <t>Fire NOC</t>
  </si>
  <si>
    <t>Swacch NOC/agreement</t>
  </si>
  <si>
    <t xml:space="preserve">EC Clerance </t>
  </si>
  <si>
    <t>MIDC plan sanction</t>
  </si>
  <si>
    <t>MIDC IOD</t>
  </si>
  <si>
    <t>MIDC NAME TRANSFER CHALLAN</t>
  </si>
  <si>
    <t>NOC</t>
  </si>
  <si>
    <t>Survayer</t>
  </si>
  <si>
    <t>Legal Consultant</t>
  </si>
  <si>
    <t>Structural Consultant</t>
  </si>
  <si>
    <t>Landscape Consultant</t>
  </si>
  <si>
    <t>Land Broker</t>
  </si>
  <si>
    <t>EC Consultant</t>
  </si>
  <si>
    <t>RCC Consultant</t>
  </si>
  <si>
    <t>MIDC Consustant</t>
  </si>
  <si>
    <t>MEP Consultant</t>
  </si>
  <si>
    <t>Architect</t>
  </si>
  <si>
    <t>Consultants</t>
  </si>
  <si>
    <t>Regulatory &amp; Consulting</t>
  </si>
  <si>
    <t>P</t>
  </si>
  <si>
    <t>POP</t>
  </si>
  <si>
    <t>Aminities furniture, equipments</t>
  </si>
  <si>
    <t>Furniture/Equipments</t>
  </si>
  <si>
    <t>Painter labour</t>
  </si>
  <si>
    <t>Painting Labour</t>
  </si>
  <si>
    <t>Paint material</t>
  </si>
  <si>
    <t>Paint</t>
  </si>
  <si>
    <t>Primer coat</t>
  </si>
  <si>
    <t>Primer</t>
  </si>
  <si>
    <t>Painting</t>
  </si>
  <si>
    <t>Waterproofing application</t>
  </si>
  <si>
    <t>Waterproofing Labour</t>
  </si>
  <si>
    <t>Chemical materials</t>
  </si>
  <si>
    <t>Chemical Waterproofing</t>
  </si>
  <si>
    <t>Waterproofing</t>
  </si>
  <si>
    <t>Plumbing work labour</t>
  </si>
  <si>
    <t>Plumbing Labour</t>
  </si>
  <si>
    <t>Bathroom fittings</t>
  </si>
  <si>
    <t>Fittings</t>
  </si>
  <si>
    <t>Water pipes</t>
  </si>
  <si>
    <t>Pipes</t>
  </si>
  <si>
    <t>Plumbing</t>
  </si>
  <si>
    <t>Other Electric &amp; Hardware Material</t>
  </si>
  <si>
    <t>Electrical installation</t>
  </si>
  <si>
    <t>Lights</t>
  </si>
  <si>
    <t>Electrical Labour</t>
  </si>
  <si>
    <t>Distribution boards</t>
  </si>
  <si>
    <t>DB Panels</t>
  </si>
  <si>
    <t>Switch boards</t>
  </si>
  <si>
    <t>Switches</t>
  </si>
  <si>
    <t>Electrical wiring</t>
  </si>
  <si>
    <t>Wires</t>
  </si>
  <si>
    <t>Electrical</t>
  </si>
  <si>
    <t>Window glass</t>
  </si>
  <si>
    <t>Carpenter Work---Labour</t>
  </si>
  <si>
    <t>Glass</t>
  </si>
  <si>
    <t>Aluminum windows</t>
  </si>
  <si>
    <t>Window Frames</t>
  </si>
  <si>
    <t>Door panels</t>
  </si>
  <si>
    <t>Door Shutters</t>
  </si>
  <si>
    <t>Door frames</t>
  </si>
  <si>
    <t>Door Frames</t>
  </si>
  <si>
    <t>Doors &amp; Windows</t>
  </si>
  <si>
    <t>Single Disc Scrubber</t>
  </si>
  <si>
    <t>Tile laying labour</t>
  </si>
  <si>
    <t>Flooring Labour</t>
  </si>
  <si>
    <t>Natural stone flooring</t>
  </si>
  <si>
    <t>Marble/Granite</t>
  </si>
  <si>
    <t>Tile purchase</t>
  </si>
  <si>
    <t>Tiles</t>
  </si>
  <si>
    <t>Flooring</t>
  </si>
  <si>
    <t>External plaster labour</t>
  </si>
  <si>
    <t>External Plaster Labour</t>
  </si>
  <si>
    <t>External plaster mix</t>
  </si>
  <si>
    <t>External Plaster Material</t>
  </si>
  <si>
    <t>External Plaster</t>
  </si>
  <si>
    <t>Internal plaster labour</t>
  </si>
  <si>
    <t>Plaster Labour</t>
  </si>
  <si>
    <t>Sand cement plaster</t>
  </si>
  <si>
    <t>Plaster Material</t>
  </si>
  <si>
    <t>Internal Plaster</t>
  </si>
  <si>
    <t>Masonry labour</t>
  </si>
  <si>
    <t>Brickwork Labour</t>
  </si>
  <si>
    <t>Cement mortar</t>
  </si>
  <si>
    <t>Mortar</t>
  </si>
  <si>
    <t>Brick or AAC blocks</t>
  </si>
  <si>
    <t>Bricks/Blocks</t>
  </si>
  <si>
    <t>Brickwork</t>
  </si>
  <si>
    <t>Pump rental</t>
  </si>
  <si>
    <t>Concrete Pump</t>
  </si>
  <si>
    <t>Formwork/shuttering</t>
  </si>
  <si>
    <t>Shuttering</t>
  </si>
  <si>
    <t>Labour for RCC casting</t>
  </si>
  <si>
    <t>RCC Labour</t>
  </si>
  <si>
    <t>Metal aggregates</t>
  </si>
  <si>
    <t>Aggregate</t>
  </si>
  <si>
    <t>Sand for RCC</t>
  </si>
  <si>
    <t>Sand</t>
  </si>
  <si>
    <t>Cement used in RCC</t>
  </si>
  <si>
    <t>Cement</t>
  </si>
  <si>
    <t>Reinforcement steel</t>
  </si>
  <si>
    <t>Steel</t>
  </si>
  <si>
    <t>RCC Structure</t>
  </si>
  <si>
    <t>Sales Office</t>
  </si>
  <si>
    <t>O</t>
  </si>
  <si>
    <t>Fabric Naturalia</t>
  </si>
  <si>
    <t>PoP work</t>
  </si>
  <si>
    <t>Alluminium and fabrication material</t>
  </si>
  <si>
    <t xml:space="preserve">Alluminium and fabrication </t>
  </si>
  <si>
    <t>Show Flat</t>
  </si>
  <si>
    <t>N</t>
  </si>
  <si>
    <t>Fabrication Work</t>
  </si>
  <si>
    <t>Fabrication Material</t>
  </si>
  <si>
    <t>Fabrication</t>
  </si>
  <si>
    <t>Garden Grass/ Plantation purchase</t>
  </si>
  <si>
    <t>Garden Labour Work</t>
  </si>
  <si>
    <t xml:space="preserve">Garden </t>
  </si>
  <si>
    <t>Flag Pole</t>
  </si>
  <si>
    <t>Landscaping/ Painting Work</t>
  </si>
  <si>
    <t>Other Plumbing material</t>
  </si>
  <si>
    <t>Electrical Transformer</t>
  </si>
  <si>
    <t>Other electrical material</t>
  </si>
  <si>
    <t>Rubble Stone</t>
  </si>
  <si>
    <t>corrugated sheet</t>
  </si>
  <si>
    <t>Common Aminities</t>
  </si>
  <si>
    <t>M</t>
  </si>
  <si>
    <t>L2</t>
  </si>
  <si>
    <t>TDS</t>
  </si>
  <si>
    <t>L1</t>
  </si>
  <si>
    <t>Partner Interest</t>
  </si>
  <si>
    <t>Partner Return</t>
  </si>
  <si>
    <t>Investor interest</t>
  </si>
  <si>
    <t>Investor Return</t>
  </si>
  <si>
    <t>Interest to bank</t>
  </si>
  <si>
    <t>Bank Loan Interest</t>
  </si>
  <si>
    <t>Interest</t>
  </si>
  <si>
    <t>L</t>
  </si>
  <si>
    <t>Software renewal chg</t>
  </si>
  <si>
    <t>Credai</t>
  </si>
  <si>
    <t xml:space="preserve">Annual fess </t>
  </si>
  <si>
    <t>Insurance Expenses</t>
  </si>
  <si>
    <t xml:space="preserve">Insurance </t>
  </si>
  <si>
    <t>Printing and Stationery Exp</t>
  </si>
  <si>
    <t>Other Misc. Expenses</t>
  </si>
  <si>
    <t>Rounding off</t>
  </si>
  <si>
    <t>Bank Charges</t>
  </si>
  <si>
    <t>Misc Exp</t>
  </si>
  <si>
    <t xml:space="preserve">Rera Fees </t>
  </si>
  <si>
    <t>Property Tax</t>
  </si>
  <si>
    <t>Local Tax/ Fees Paid</t>
  </si>
  <si>
    <t>Uniform</t>
  </si>
  <si>
    <t>Staff Uniform</t>
  </si>
  <si>
    <t>Pantry Material</t>
  </si>
  <si>
    <t>Tea and Refreshment Exp</t>
  </si>
  <si>
    <t>Gas Exp</t>
  </si>
  <si>
    <t>Milk Bill</t>
  </si>
  <si>
    <t>Grocery</t>
  </si>
  <si>
    <t>Breakfast/Lunch Expenses</t>
  </si>
  <si>
    <t>Food</t>
  </si>
  <si>
    <t>Lodging and Bording Expenses</t>
  </si>
  <si>
    <t>Travell Cost / Car / Bike Rent</t>
  </si>
  <si>
    <t>Travelling Expenses</t>
  </si>
  <si>
    <t>Travel &amp; Stay</t>
  </si>
  <si>
    <t>Repair and Maintenace Expenses</t>
  </si>
  <si>
    <t>Cleaning Servises</t>
  </si>
  <si>
    <t>Maintainance</t>
  </si>
  <si>
    <t>Courier Chg/Postage and Telephone Charges</t>
  </si>
  <si>
    <t>Internet Bill</t>
  </si>
  <si>
    <t>Water Bill</t>
  </si>
  <si>
    <t>Site Electricity Bill</t>
  </si>
  <si>
    <t>Electricity Bill</t>
  </si>
  <si>
    <t>Office Bills</t>
  </si>
  <si>
    <t>Petty Cash</t>
  </si>
  <si>
    <t>Petty</t>
  </si>
  <si>
    <t>Appartment rent and deposit</t>
  </si>
  <si>
    <t>Appartment rent</t>
  </si>
  <si>
    <t>Office Lease</t>
  </si>
  <si>
    <t>Rent</t>
  </si>
  <si>
    <t>Payroll</t>
  </si>
  <si>
    <t>Contractor Salaries- Housekeeping Staff</t>
  </si>
  <si>
    <t>Contractor Salaries- Security Guard</t>
  </si>
  <si>
    <t>Employee Salaries</t>
  </si>
  <si>
    <t>Salaries</t>
  </si>
  <si>
    <t>G&amp;A Cost</t>
  </si>
  <si>
    <t>K</t>
  </si>
  <si>
    <t>Social Media Influencer</t>
  </si>
  <si>
    <t>Function and Festival Expenses</t>
  </si>
  <si>
    <t>Site Branding Cost</t>
  </si>
  <si>
    <t>Site Branding</t>
  </si>
  <si>
    <t>Print Ads</t>
  </si>
  <si>
    <t>Print</t>
  </si>
  <si>
    <t>Radio Ads</t>
  </si>
  <si>
    <t>Radio</t>
  </si>
  <si>
    <t>Channel partner payout</t>
  </si>
  <si>
    <t>Broker Commission</t>
  </si>
  <si>
    <t>Channel Partner Commission</t>
  </si>
  <si>
    <t>Other Marketing expenses</t>
  </si>
  <si>
    <t>Outdoor hoardings</t>
  </si>
  <si>
    <t>Hoardings</t>
  </si>
  <si>
    <t>Outdoor Marketing</t>
  </si>
  <si>
    <t xml:space="preserve">Advertisement </t>
  </si>
  <si>
    <t>Video/Photo shoot</t>
  </si>
  <si>
    <t>Shoot</t>
  </si>
  <si>
    <t>Meta campaigns</t>
  </si>
  <si>
    <t>Facebook Ads</t>
  </si>
  <si>
    <t>Google campaigns</t>
  </si>
  <si>
    <t>Google Ads</t>
  </si>
  <si>
    <t>Digital Marketing</t>
  </si>
  <si>
    <t>Marketing Cost</t>
  </si>
  <si>
    <t>J</t>
  </si>
  <si>
    <t xml:space="preserve">POP </t>
  </si>
  <si>
    <t xml:space="preserve">Water connection chg </t>
  </si>
  <si>
    <t>Water connection</t>
  </si>
  <si>
    <t>Heat Pump</t>
  </si>
  <si>
    <t>Borewell</t>
  </si>
  <si>
    <t>Lift</t>
  </si>
  <si>
    <t>Loading/ Unloading Chg</t>
  </si>
  <si>
    <t>Crane services</t>
  </si>
  <si>
    <t>JCB</t>
  </si>
  <si>
    <t>Material Transportation</t>
  </si>
  <si>
    <t>Transportation</t>
  </si>
  <si>
    <t>Painter other material</t>
  </si>
  <si>
    <t>Other Misc. Painting Material</t>
  </si>
  <si>
    <t>Penetron</t>
  </si>
  <si>
    <t>Sanitary Material &amp; C P Fitting</t>
  </si>
  <si>
    <t>Other Misc purchase</t>
  </si>
  <si>
    <t>Sanitary ware (WC, Basin, etc.)</t>
  </si>
  <si>
    <t>Sanitary Ware</t>
  </si>
  <si>
    <t>Home Automation</t>
  </si>
  <si>
    <t>AC Fitting Work</t>
  </si>
  <si>
    <t xml:space="preserve">Exaust Fan </t>
  </si>
  <si>
    <t>Electrical Meter installation</t>
  </si>
  <si>
    <t>Electrical Meter</t>
  </si>
  <si>
    <t>Door Installation Work</t>
  </si>
  <si>
    <t>Louvers Material</t>
  </si>
  <si>
    <t>Carpentry Material</t>
  </si>
  <si>
    <t>Coated Sheet</t>
  </si>
  <si>
    <t>Glass work</t>
  </si>
  <si>
    <t>Grout Work</t>
  </si>
  <si>
    <t>Granite</t>
  </si>
  <si>
    <t>Marble</t>
  </si>
  <si>
    <t>Gypsum Work</t>
  </si>
  <si>
    <t>Gypsum Material</t>
  </si>
  <si>
    <t>Popular Blockset</t>
  </si>
  <si>
    <t>Chemical</t>
  </si>
  <si>
    <t>Bambu &amp; Brics</t>
  </si>
  <si>
    <t>Core Cutting</t>
  </si>
  <si>
    <t>Ready Mix Concreate Material</t>
  </si>
  <si>
    <t>Piling Work</t>
  </si>
  <si>
    <t>Concrete Work</t>
  </si>
  <si>
    <t>Fastone</t>
  </si>
  <si>
    <t>Corrugated sheet</t>
  </si>
  <si>
    <t>Construction Cost</t>
  </si>
  <si>
    <t>I</t>
  </si>
  <si>
    <t>Title verification</t>
  </si>
  <si>
    <t>Legal Due Diligence</t>
  </si>
  <si>
    <t>Legal</t>
  </si>
  <si>
    <t>Registration charges</t>
  </si>
  <si>
    <t>Registration Fees</t>
  </si>
  <si>
    <t>Registration</t>
  </si>
  <si>
    <t>Government stamp duty</t>
  </si>
  <si>
    <t>Stamp Duty</t>
  </si>
  <si>
    <t>Broker commission for land</t>
  </si>
  <si>
    <t>Land Broker Fee</t>
  </si>
  <si>
    <t>Brokerage</t>
  </si>
  <si>
    <t>Primary land acquisition payment</t>
  </si>
  <si>
    <t>Acquisition Deposit</t>
  </si>
  <si>
    <t>Land Acquisition</t>
  </si>
  <si>
    <t>Project Acquisition (Land &amp; Reg Exp)</t>
  </si>
  <si>
    <t>H</t>
  </si>
  <si>
    <t>Other Misc Income</t>
  </si>
  <si>
    <t>Misc Income</t>
  </si>
  <si>
    <t>Bank Interest</t>
  </si>
  <si>
    <t>Interest Income</t>
  </si>
  <si>
    <t>Other Income</t>
  </si>
  <si>
    <t>G</t>
  </si>
  <si>
    <t>Director Unsecured Loan</t>
  </si>
  <si>
    <t>Director Loan</t>
  </si>
  <si>
    <t>Promoter Capital</t>
  </si>
  <si>
    <t>Promoter Equity</t>
  </si>
  <si>
    <t>Promoter Funding</t>
  </si>
  <si>
    <t>F</t>
  </si>
  <si>
    <t>Financial Institution Draw</t>
  </si>
  <si>
    <t>Construction Loan</t>
  </si>
  <si>
    <t>Project Loan</t>
  </si>
  <si>
    <t>Financial Institution Funding</t>
  </si>
  <si>
    <t>E</t>
  </si>
  <si>
    <t>Investor Loan</t>
  </si>
  <si>
    <t>Debt Investor</t>
  </si>
  <si>
    <t>Equity Capital</t>
  </si>
  <si>
    <t>Equity Investor</t>
  </si>
  <si>
    <t>Investor Funding</t>
  </si>
  <si>
    <t>D</t>
  </si>
  <si>
    <t>Short term unsecured loan from Related Party</t>
  </si>
  <si>
    <t>Temporary Funding- Related Party</t>
  </si>
  <si>
    <t>Short term unsecured loan from TP</t>
  </si>
  <si>
    <t>Temporary Funding- TP</t>
  </si>
  <si>
    <t>Short term unsecured loan from customer</t>
  </si>
  <si>
    <t>Temporary Funding- Customer</t>
  </si>
  <si>
    <t>Unsecured Loans Received</t>
  </si>
  <si>
    <t>Unsecured Loan</t>
  </si>
  <si>
    <t>C</t>
  </si>
  <si>
    <t>Final possession payment</t>
  </si>
  <si>
    <t>Possession Payment</t>
  </si>
  <si>
    <t>Possession Collections</t>
  </si>
  <si>
    <t>Installments based on construction</t>
  </si>
  <si>
    <t>Construction Linked Payment</t>
  </si>
  <si>
    <t>Milestone Collections</t>
  </si>
  <si>
    <t>Customer booking advance</t>
  </si>
  <si>
    <t>Initial Booking</t>
  </si>
  <si>
    <t>Booking Amount</t>
  </si>
  <si>
    <t>Customer Collections</t>
  </si>
  <si>
    <t>B</t>
  </si>
  <si>
    <t>Clubhouse / Amenity Charges</t>
  </si>
  <si>
    <t>Amenity Sales</t>
  </si>
  <si>
    <t>Parking Slot Sale</t>
  </si>
  <si>
    <t>Parking Sales</t>
  </si>
  <si>
    <t>Apartment Sale</t>
  </si>
  <si>
    <t>Unit Sales</t>
  </si>
  <si>
    <t>Sales Revenue</t>
  </si>
  <si>
    <t>A</t>
  </si>
  <si>
    <t>Description</t>
  </si>
  <si>
    <t>Nature</t>
  </si>
  <si>
    <t>L3</t>
  </si>
  <si>
    <t xml:space="preserve">Building </t>
  </si>
  <si>
    <t>Building</t>
  </si>
  <si>
    <t>CF</t>
  </si>
  <si>
    <t>Profit and Loss</t>
  </si>
  <si>
    <t>Coding for Cash Flow "CF"</t>
  </si>
  <si>
    <t>Master Data to Update</t>
  </si>
  <si>
    <t>PL</t>
  </si>
  <si>
    <t>Code</t>
  </si>
  <si>
    <t>Coding for Profit &amp; Loss "PL"</t>
  </si>
  <si>
    <t>Cashflow</t>
  </si>
  <si>
    <t>Questions</t>
  </si>
  <si>
    <t>Yes</t>
  </si>
  <si>
    <t>No</t>
  </si>
  <si>
    <t>Applicable ?</t>
  </si>
  <si>
    <t>X</t>
  </si>
  <si>
    <t>Y</t>
  </si>
  <si>
    <t>Z</t>
  </si>
  <si>
    <t xml:space="preserve"> </t>
  </si>
  <si>
    <t>Statutory Taxes/Interest/Penalty</t>
  </si>
  <si>
    <t>Interrest &amp; Penalty</t>
  </si>
  <si>
    <t>Finance Cost</t>
  </si>
  <si>
    <t>Professional Tax Paid</t>
  </si>
  <si>
    <t>Fixed Assets</t>
  </si>
  <si>
    <t>Depreciation</t>
  </si>
  <si>
    <t>Landowner-3</t>
  </si>
  <si>
    <t>CM</t>
  </si>
  <si>
    <t xml:space="preserve">RCC Work- Slab </t>
  </si>
  <si>
    <t>Professiona Fees -CA</t>
  </si>
  <si>
    <t>Remuneration Paid to  Partner</t>
  </si>
  <si>
    <t>Remuneration Paid to Partner</t>
  </si>
  <si>
    <t>Gypsum Work / Material</t>
  </si>
  <si>
    <t>Articial Plants and Grass</t>
  </si>
  <si>
    <t>Gmail monthly Payment</t>
  </si>
  <si>
    <t>Call Tracking services</t>
  </si>
  <si>
    <t>Suspense</t>
  </si>
  <si>
    <t>BOQ Consultant</t>
  </si>
  <si>
    <t>Transportation Chg</t>
  </si>
  <si>
    <t>Transportation Chg paid</t>
  </si>
  <si>
    <t>Asset Purchase</t>
  </si>
  <si>
    <t>Vendor Advance</t>
  </si>
  <si>
    <t>Inverter</t>
  </si>
  <si>
    <t>Louvers Labour</t>
  </si>
  <si>
    <t>Tarpaulin Sheet</t>
  </si>
  <si>
    <t>Labour Charges</t>
  </si>
  <si>
    <t>Labour Chg paid</t>
  </si>
  <si>
    <t>Provision</t>
  </si>
  <si>
    <t>Exclavation</t>
  </si>
  <si>
    <t>Exclavation Work</t>
  </si>
  <si>
    <t xml:space="preserve">Credit Card </t>
  </si>
  <si>
    <t>Gaurav  Sir Credit Card Expenses</t>
  </si>
  <si>
    <t xml:space="preserve">Direct Tax </t>
  </si>
  <si>
    <t>TDS Payable</t>
  </si>
  <si>
    <t>GST ITC Expense</t>
  </si>
  <si>
    <t>GST  ITC Expense out</t>
  </si>
  <si>
    <t>Payables</t>
  </si>
  <si>
    <t>Creditros</t>
  </si>
  <si>
    <t>Salary Payable</t>
  </si>
  <si>
    <t>Statutory Payables</t>
  </si>
  <si>
    <t>GST Payables</t>
  </si>
  <si>
    <t>Creditor payable</t>
  </si>
  <si>
    <t xml:space="preserve">Salary </t>
  </si>
  <si>
    <t>Provision C</t>
  </si>
  <si>
    <t>Louvers Work</t>
  </si>
  <si>
    <t>Finishing</t>
  </si>
  <si>
    <t>Tiles Labour</t>
  </si>
  <si>
    <t>Club House</t>
  </si>
  <si>
    <t>Marble/Granite Material</t>
  </si>
  <si>
    <t xml:space="preserve">Goa Electricity Department </t>
  </si>
  <si>
    <t>Sign Board</t>
  </si>
  <si>
    <t>Department Labour</t>
  </si>
  <si>
    <t>Railing</t>
  </si>
  <si>
    <t xml:space="preserve">Railing Work </t>
  </si>
  <si>
    <t>Railing Work</t>
  </si>
  <si>
    <t>Loading / Unloading Charges</t>
  </si>
  <si>
    <t>Output GST</t>
  </si>
  <si>
    <t>RCM GST</t>
  </si>
  <si>
    <t>RCM IGST CGST SGST Paid</t>
  </si>
  <si>
    <t>Other Office Expenses</t>
  </si>
  <si>
    <t>Interest on Other unsecured loan</t>
  </si>
  <si>
    <t>Interest on GST</t>
  </si>
  <si>
    <t>Interest or Penalty on Income Tax</t>
  </si>
  <si>
    <t>Interest &amp; Penalty on TDS</t>
  </si>
  <si>
    <t xml:space="preserve">Tax Provision </t>
  </si>
  <si>
    <t>TDS Payment for Common and Building</t>
  </si>
  <si>
    <t xml:space="preserve">IGST CGST SGST Paid </t>
  </si>
  <si>
    <t>Only the amount paid from Cash Ledger shall be used</t>
  </si>
  <si>
    <t>Income Tax -Advance</t>
  </si>
  <si>
    <t>IT Advance Tax Paid</t>
  </si>
  <si>
    <t>TDS Liability Paid - CM &amp; Buildings</t>
  </si>
  <si>
    <t>Cash &amp; Cash Equivalents</t>
  </si>
  <si>
    <t>Bank A/c</t>
  </si>
  <si>
    <t>FD A/c</t>
  </si>
  <si>
    <t>Autosweep FD- KOtak Bank</t>
  </si>
  <si>
    <t>BAL</t>
  </si>
  <si>
    <t>Balancing Cashflow Residuary Ledger</t>
  </si>
  <si>
    <t>Residuary Ledger</t>
  </si>
  <si>
    <t>MISC Residuary for Cashflow</t>
  </si>
  <si>
    <t>Balancing P&amp;L Residuary Ledger</t>
  </si>
  <si>
    <t>MISC Residuary for PL</t>
  </si>
  <si>
    <t>This Cost Center Grouping is in Profit and Loss</t>
  </si>
  <si>
    <t>There is no Need of This Cost centers</t>
  </si>
  <si>
    <t xml:space="preserve">This Cost Center Grouping is Out of cashflow.
Any ledger/Cost center balance is not be included in cashflow calculation </t>
  </si>
  <si>
    <t>Exception Cost Centers. Not be used in Calculations</t>
  </si>
  <si>
    <t>Balancing and Controll Cost Centers to be not included in CashFlow &amp; Profit and Loss Account Entries (For Control and Accuracy of Data)</t>
  </si>
  <si>
    <t>Cash A/c</t>
  </si>
  <si>
    <t>Criteria 1 Total Balance of Cash and cash equivalent L1 = Balance Sheet Cash &amp; Cashequivalents</t>
  </si>
  <si>
    <t>Criteria 2 Net Total Balance of Cashflow  = Cash &amp; Cash Equivalents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</si>
</sst>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1">
    <xf numFmtId="0" fontId="0" fillId="0" borderId="0" xfId="0"/>
    <xf numFmtId="0" fontId="2" fillId="0" borderId="0" xfId="0" applyFont="1" applyAlignment="1">
      <alignment horizontal="center" vertical="center"/>
    </xf>
    <xf numFmtId="0" fontId="0" fillId="3" borderId="0" xfId="0" applyFill="1"/>
    <xf numFmtId="0" fontId="0" fillId="3" borderId="2" xfId="0" applyFill="1" applyBorder="1"/>
    <xf numFmtId="0" fontId="0" fillId="3" borderId="9" xfId="0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0" xfId="0" applyFill="1"/>
    <xf numFmtId="0" fontId="0" fillId="2" borderId="4" xfId="0" applyFill="1" applyBorder="1"/>
    <xf numFmtId="0" fontId="0" fillId="8" borderId="0" xfId="0" applyFill="1"/>
    <xf numFmtId="0" fontId="0" fillId="9" borderId="0" xfId="0" applyFill="1"/>
    <xf numFmtId="164" fontId="0" fillId="2" borderId="4" xfId="1" applyFont="1" applyFill="1" applyBorder="1"/>
    <xf numFmtId="164" fontId="0" fillId="5" borderId="0" xfId="1" applyFont="1" applyFill="1" applyAlignment="1"/>
    <xf numFmtId="0" fontId="2" fillId="3" borderId="8" xfId="0" applyFont="1" applyFill="1" applyBorder="1" applyAlignment="1">
      <alignment horizontal="center" vertical="center"/>
    </xf>
    <xf numFmtId="0" fontId="0" fillId="10" borderId="0" xfId="0" applyFill="1"/>
    <xf numFmtId="0" fontId="2" fillId="10" borderId="0" xfId="0" applyFont="1" applyFill="1"/>
    <xf numFmtId="0" fontId="2" fillId="10" borderId="7" xfId="0" applyFont="1" applyFill="1" applyBorder="1"/>
    <xf numFmtId="0" fontId="2" fillId="10" borderId="17" xfId="0" applyFont="1" applyFill="1" applyBorder="1"/>
    <xf numFmtId="0" fontId="0" fillId="3" borderId="10" xfId="0" applyFill="1" applyBorder="1"/>
    <xf numFmtId="0" fontId="2" fillId="3" borderId="3" xfId="0" applyFont="1" applyFill="1" applyBorder="1"/>
    <xf numFmtId="0" fontId="0" fillId="3" borderId="12" xfId="0" applyFill="1" applyBorder="1"/>
    <xf numFmtId="164" fontId="0" fillId="6" borderId="4" xfId="1" applyFont="1" applyFill="1" applyBorder="1"/>
    <xf numFmtId="0" fontId="0" fillId="6" borderId="4" xfId="0" applyFill="1" applyBorder="1"/>
    <xf numFmtId="164" fontId="0" fillId="7" borderId="4" xfId="1" applyFont="1" applyFill="1" applyBorder="1"/>
    <xf numFmtId="0" fontId="0" fillId="7" borderId="4" xfId="0" applyFill="1" applyBorder="1"/>
    <xf numFmtId="164" fontId="0" fillId="8" borderId="4" xfId="1" applyFont="1" applyFill="1" applyBorder="1" applyAlignment="1"/>
    <xf numFmtId="0" fontId="0" fillId="8" borderId="4" xfId="0" applyFill="1" applyBorder="1"/>
    <xf numFmtId="164" fontId="0" fillId="9" borderId="4" xfId="1" applyFont="1" applyFill="1" applyBorder="1" applyAlignment="1"/>
    <xf numFmtId="0" fontId="0" fillId="9" borderId="4" xfId="0" applyFill="1" applyBorder="1"/>
    <xf numFmtId="0" fontId="2" fillId="3" borderId="6" xfId="0" applyFont="1" applyFill="1" applyBorder="1" applyAlignment="1">
      <alignment horizontal="center" vertical="center"/>
    </xf>
    <xf numFmtId="0" fontId="0" fillId="3" borderId="4" xfId="0" applyFill="1" applyBorder="1"/>
    <xf numFmtId="0" fontId="2" fillId="3" borderId="19" xfId="0" applyFont="1" applyFill="1" applyBorder="1" applyAlignment="1">
      <alignment horizontal="center" vertical="center"/>
    </xf>
    <xf numFmtId="164" fontId="2" fillId="8" borderId="4" xfId="1" applyFont="1" applyFill="1" applyBorder="1" applyAlignment="1"/>
    <xf numFmtId="164" fontId="2" fillId="9" borderId="4" xfId="1" applyFont="1" applyFill="1" applyBorder="1" applyAlignment="1"/>
    <xf numFmtId="164" fontId="2" fillId="5" borderId="0" xfId="1" applyFont="1" applyFill="1" applyBorder="1" applyAlignment="1"/>
    <xf numFmtId="164" fontId="4" fillId="5" borderId="0" xfId="1" applyFont="1" applyFill="1" applyBorder="1" applyAlignment="1"/>
    <xf numFmtId="164" fontId="2" fillId="6" borderId="4" xfId="1" applyFont="1" applyFill="1" applyBorder="1"/>
    <xf numFmtId="164" fontId="2" fillId="7" borderId="4" xfId="1" applyFont="1" applyFill="1" applyBorder="1"/>
    <xf numFmtId="164" fontId="2" fillId="2" borderId="4" xfId="1" applyFont="1" applyFill="1" applyBorder="1"/>
    <xf numFmtId="164" fontId="4" fillId="2" borderId="4" xfId="1" applyFont="1" applyFill="1" applyBorder="1"/>
    <xf numFmtId="164" fontId="2" fillId="5" borderId="0" xfId="1" applyFont="1" applyFill="1" applyAlignment="1"/>
    <xf numFmtId="164" fontId="1" fillId="6" borderId="4" xfId="1" applyFont="1" applyFill="1" applyBorder="1"/>
    <xf numFmtId="164" fontId="1" fillId="7" borderId="4" xfId="1" applyFont="1" applyFill="1" applyBorder="1"/>
    <xf numFmtId="164" fontId="1" fillId="2" borderId="4" xfId="1" applyFont="1" applyFill="1" applyBorder="1"/>
    <xf numFmtId="164" fontId="1" fillId="8" borderId="4" xfId="1" applyFont="1" applyFill="1" applyBorder="1" applyAlignment="1"/>
    <xf numFmtId="164" fontId="1" fillId="9" borderId="4" xfId="1" applyFont="1" applyFill="1" applyBorder="1" applyAlignment="1"/>
    <xf numFmtId="164" fontId="1" fillId="5" borderId="0" xfId="1" applyFont="1" applyFill="1" applyBorder="1" applyAlignment="1"/>
    <xf numFmtId="164" fontId="1" fillId="5" borderId="0" xfId="1" applyFont="1" applyFill="1" applyAlignment="1"/>
    <xf numFmtId="0" fontId="2" fillId="0" borderId="0" xfId="0" applyFont="1"/>
    <xf numFmtId="0" fontId="5" fillId="3" borderId="4" xfId="0" applyFont="1" applyFill="1" applyBorder="1"/>
    <xf numFmtId="0" fontId="5" fillId="10" borderId="0" xfId="0" applyFont="1" applyFill="1"/>
    <xf numFmtId="164" fontId="4" fillId="6" borderId="4" xfId="1" applyFont="1" applyFill="1" applyBorder="1"/>
    <xf numFmtId="164" fontId="4" fillId="7" borderId="4" xfId="1" applyFont="1" applyFill="1" applyBorder="1"/>
    <xf numFmtId="164" fontId="4" fillId="8" borderId="4" xfId="1" applyFont="1" applyFill="1" applyBorder="1" applyAlignment="1"/>
    <xf numFmtId="164" fontId="4" fillId="9" borderId="4" xfId="1" applyFont="1" applyFill="1" applyBorder="1" applyAlignment="1"/>
    <xf numFmtId="0" fontId="5" fillId="0" borderId="0" xfId="0" applyFont="1"/>
    <xf numFmtId="0" fontId="6" fillId="10" borderId="0" xfId="0" applyFont="1" applyFill="1"/>
    <xf numFmtId="0" fontId="7" fillId="10" borderId="0" xfId="0" applyFont="1" applyFill="1"/>
    <xf numFmtId="0" fontId="6" fillId="3" borderId="0" xfId="0" applyFont="1" applyFill="1"/>
    <xf numFmtId="0" fontId="6" fillId="3" borderId="12" xfId="0" applyFont="1" applyFill="1" applyBorder="1"/>
    <xf numFmtId="0" fontId="7" fillId="3" borderId="8" xfId="0" applyFont="1" applyFill="1" applyBorder="1" applyAlignment="1">
      <alignment horizontal="center" vertical="center"/>
    </xf>
    <xf numFmtId="0" fontId="7" fillId="10" borderId="7" xfId="0" applyFont="1" applyFill="1" applyBorder="1"/>
    <xf numFmtId="0" fontId="7" fillId="10" borderId="17" xfId="0" applyFont="1" applyFill="1" applyBorder="1"/>
    <xf numFmtId="0" fontId="7" fillId="3" borderId="10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6" fillId="3" borderId="4" xfId="0" applyFont="1" applyFill="1" applyBorder="1"/>
    <xf numFmtId="164" fontId="7" fillId="6" borderId="4" xfId="1" applyFont="1" applyFill="1" applyBorder="1"/>
    <xf numFmtId="164" fontId="7" fillId="7" borderId="4" xfId="1" applyFont="1" applyFill="1" applyBorder="1"/>
    <xf numFmtId="164" fontId="7" fillId="2" borderId="4" xfId="1" applyFont="1" applyFill="1" applyBorder="1"/>
    <xf numFmtId="164" fontId="7" fillId="8" borderId="4" xfId="1" applyFont="1" applyFill="1" applyBorder="1" applyAlignment="1"/>
    <xf numFmtId="164" fontId="7" fillId="9" borderId="4" xfId="1" applyFont="1" applyFill="1" applyBorder="1" applyAlignment="1"/>
    <xf numFmtId="164" fontId="7" fillId="5" borderId="0" xfId="1" applyFont="1" applyFill="1" applyBorder="1" applyAlignment="1"/>
    <xf numFmtId="0" fontId="6" fillId="0" borderId="0" xfId="0" applyFont="1"/>
    <xf numFmtId="0" fontId="6" fillId="3" borderId="4" xfId="0" applyFont="1" applyFill="1" applyBorder="1" applyAlignment="1">
      <alignment wrapText="1"/>
    </xf>
    <xf numFmtId="0" fontId="9" fillId="11" borderId="4" xfId="0" applyFont="1" applyFill="1" applyBorder="1"/>
    <xf numFmtId="0" fontId="9" fillId="11" borderId="12" xfId="0" applyFont="1" applyFill="1" applyBorder="1"/>
    <xf numFmtId="0" fontId="10" fillId="3" borderId="3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9" fillId="11" borderId="2" xfId="0" applyFont="1" applyFill="1" applyBorder="1"/>
    <xf numFmtId="0" fontId="9" fillId="11" borderId="9" xfId="0" applyFont="1" applyFill="1" applyBorder="1"/>
    <xf numFmtId="0" fontId="9" fillId="11" borderId="6" xfId="0" applyFont="1" applyFill="1" applyBorder="1"/>
    <xf numFmtId="0" fontId="9" fillId="11" borderId="10" xfId="0" applyFont="1" applyFill="1" applyBorder="1"/>
    <xf numFmtId="0" fontId="9" fillId="11" borderId="3" xfId="0" applyFont="1" applyFill="1" applyBorder="1"/>
    <xf numFmtId="0" fontId="9" fillId="11" borderId="0" xfId="0" applyFont="1" applyFill="1"/>
    <xf numFmtId="0" fontId="9" fillId="11" borderId="20" xfId="0" applyFont="1" applyFill="1" applyBorder="1"/>
    <xf numFmtId="0" fontId="9" fillId="11" borderId="11" xfId="0" applyFont="1" applyFill="1" applyBorder="1"/>
    <xf numFmtId="0" fontId="9" fillId="11" borderId="5" xfId="0" applyFont="1" applyFill="1" applyBorder="1"/>
    <xf numFmtId="0" fontId="9" fillId="11" borderId="21" xfId="0" applyFont="1" applyFill="1" applyBorder="1"/>
    <xf numFmtId="0" fontId="9" fillId="0" borderId="0" xfId="0" applyFont="1"/>
    <xf numFmtId="0" fontId="9" fillId="0" borderId="4" xfId="0" applyFont="1" applyBorder="1"/>
    <xf numFmtId="0" fontId="9" fillId="0" borderId="12" xfId="0" applyFont="1" applyBorder="1"/>
    <xf numFmtId="0" fontId="6" fillId="11" borderId="0" xfId="0" applyFont="1" applyFill="1"/>
    <xf numFmtId="0" fontId="6" fillId="0" borderId="4" xfId="0" applyFont="1" applyBorder="1"/>
    <xf numFmtId="0" fontId="6" fillId="0" borderId="12" xfId="0" applyFont="1" applyBorder="1"/>
    <xf numFmtId="0" fontId="7" fillId="0" borderId="0" xfId="0" applyFont="1" applyAlignment="1">
      <alignment horizontal="center" vertical="center"/>
    </xf>
    <xf numFmtId="0" fontId="6" fillId="0" borderId="12" xfId="0" applyFont="1" applyBorder="1" applyAlignment="1">
      <alignment wrapText="1"/>
    </xf>
    <xf numFmtId="0" fontId="2" fillId="6" borderId="0" xfId="0" applyFont="1" applyFill="1"/>
    <xf numFmtId="0" fontId="2" fillId="7" borderId="0" xfId="0" applyFont="1" applyFill="1"/>
    <xf numFmtId="0" fontId="2" fillId="2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5" borderId="0" xfId="0" applyFont="1" applyFill="1"/>
    <xf numFmtId="0" fontId="7" fillId="0" borderId="0" xfId="0" applyFont="1"/>
    <xf numFmtId="164" fontId="11" fillId="11" borderId="6" xfId="1" applyFont="1" applyFill="1" applyBorder="1"/>
    <xf numFmtId="164" fontId="11" fillId="11" borderId="6" xfId="1" applyFont="1" applyFill="1" applyBorder="1" applyAlignment="1"/>
    <xf numFmtId="164" fontId="11" fillId="11" borderId="9" xfId="1" applyFont="1" applyFill="1" applyBorder="1" applyAlignment="1"/>
    <xf numFmtId="0" fontId="11" fillId="11" borderId="9" xfId="0" applyFont="1" applyFill="1" applyBorder="1"/>
    <xf numFmtId="164" fontId="11" fillId="11" borderId="4" xfId="1" applyFont="1" applyFill="1" applyBorder="1"/>
    <xf numFmtId="164" fontId="11" fillId="11" borderId="4" xfId="1" applyFont="1" applyFill="1" applyBorder="1" applyAlignment="1"/>
    <xf numFmtId="164" fontId="11" fillId="11" borderId="0" xfId="1" applyFont="1" applyFill="1" applyBorder="1" applyAlignment="1"/>
    <xf numFmtId="0" fontId="11" fillId="11" borderId="0" xfId="0" applyFont="1" applyFill="1"/>
    <xf numFmtId="164" fontId="11" fillId="11" borderId="5" xfId="1" applyFont="1" applyFill="1" applyBorder="1"/>
    <xf numFmtId="164" fontId="11" fillId="11" borderId="5" xfId="1" applyFont="1" applyFill="1" applyBorder="1" applyAlignment="1"/>
    <xf numFmtId="164" fontId="11" fillId="11" borderId="11" xfId="1" applyFont="1" applyFill="1" applyBorder="1" applyAlignment="1"/>
    <xf numFmtId="0" fontId="11" fillId="11" borderId="11" xfId="0" applyFont="1" applyFill="1" applyBorder="1"/>
    <xf numFmtId="164" fontId="11" fillId="0" borderId="4" xfId="1" applyFont="1" applyFill="1" applyBorder="1"/>
    <xf numFmtId="164" fontId="11" fillId="0" borderId="4" xfId="1" applyFont="1" applyFill="1" applyBorder="1" applyAlignment="1"/>
    <xf numFmtId="164" fontId="11" fillId="0" borderId="0" xfId="1" applyFont="1" applyFill="1" applyBorder="1" applyAlignment="1"/>
    <xf numFmtId="0" fontId="11" fillId="0" borderId="0" xfId="0" applyFont="1"/>
    <xf numFmtId="0" fontId="4" fillId="0" borderId="0" xfId="0" applyFont="1"/>
    <xf numFmtId="0" fontId="2" fillId="6" borderId="4" xfId="0" applyFont="1" applyFill="1" applyBorder="1"/>
    <xf numFmtId="0" fontId="2" fillId="7" borderId="4" xfId="0" applyFont="1" applyFill="1" applyBorder="1"/>
    <xf numFmtId="0" fontId="2" fillId="2" borderId="4" xfId="0" applyFont="1" applyFill="1" applyBorder="1"/>
    <xf numFmtId="0" fontId="2" fillId="8" borderId="4" xfId="0" applyFont="1" applyFill="1" applyBorder="1"/>
    <xf numFmtId="0" fontId="2" fillId="9" borderId="4" xfId="0" applyFont="1" applyFill="1" applyBorder="1"/>
    <xf numFmtId="0" fontId="6" fillId="5" borderId="0" xfId="0" applyFont="1" applyFill="1"/>
    <xf numFmtId="0" fontId="6" fillId="5" borderId="4" xfId="0" applyFont="1" applyFill="1" applyBorder="1"/>
    <xf numFmtId="0" fontId="6" fillId="5" borderId="12" xfId="0" applyFont="1" applyFill="1" applyBorder="1"/>
    <xf numFmtId="164" fontId="7" fillId="5" borderId="4" xfId="1" applyFont="1" applyFill="1" applyBorder="1"/>
    <xf numFmtId="164" fontId="7" fillId="5" borderId="4" xfId="1" applyFont="1" applyFill="1" applyBorder="1" applyAlignment="1"/>
    <xf numFmtId="0" fontId="7" fillId="5" borderId="0" xfId="0" applyFont="1" applyFill="1"/>
    <xf numFmtId="0" fontId="0" fillId="6" borderId="6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8" fillId="3" borderId="0" xfId="0" applyFont="1" applyFill="1" applyAlignment="1">
      <alignment horizontal="left"/>
    </xf>
    <xf numFmtId="0" fontId="7" fillId="7" borderId="6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ACE4-6DCC-42BD-B25B-F0E1E6495FAA}">
  <dimension ref="B3:E30"/>
  <sheetViews>
    <sheetView workbookViewId="0"/>
  </sheetViews>
  <sheetFormatPr baseColWidth="10" defaultColWidth="8.83203125" defaultRowHeight="15" x14ac:dyDescent="0.2"/>
  <sheetData>
    <row r="3" spans="2:5" x14ac:dyDescent="0.2">
      <c r="B3" t="s">
        <v>364</v>
      </c>
      <c r="E3" t="s">
        <v>373</v>
      </c>
    </row>
    <row r="4" spans="2:5" x14ac:dyDescent="0.2">
      <c r="B4" t="s">
        <v>359</v>
      </c>
      <c r="E4" t="s">
        <v>374</v>
      </c>
    </row>
    <row r="5" spans="2:5" x14ac:dyDescent="0.2">
      <c r="B5" t="s">
        <v>351</v>
      </c>
      <c r="E5" t="s">
        <v>375</v>
      </c>
    </row>
    <row r="6" spans="2:5" x14ac:dyDescent="0.2">
      <c r="B6" t="s">
        <v>340</v>
      </c>
    </row>
    <row r="7" spans="2:5" x14ac:dyDescent="0.2">
      <c r="B7" t="s">
        <v>331</v>
      </c>
    </row>
    <row r="8" spans="2:5" x14ac:dyDescent="0.2">
      <c r="B8" t="s">
        <v>325</v>
      </c>
    </row>
    <row r="9" spans="2:5" x14ac:dyDescent="0.2">
      <c r="B9" t="s">
        <v>320</v>
      </c>
    </row>
    <row r="10" spans="2:5" x14ac:dyDescent="0.2">
      <c r="B10" t="s">
        <v>314</v>
      </c>
    </row>
    <row r="11" spans="2:5" x14ac:dyDescent="0.2">
      <c r="B11" t="s">
        <v>308</v>
      </c>
    </row>
    <row r="12" spans="2:5" x14ac:dyDescent="0.2">
      <c r="B12" t="s">
        <v>292</v>
      </c>
    </row>
    <row r="13" spans="2:5" x14ac:dyDescent="0.2">
      <c r="B13" t="s">
        <v>248</v>
      </c>
    </row>
    <row r="14" spans="2:5" x14ac:dyDescent="0.2">
      <c r="B14" t="s">
        <v>223</v>
      </c>
    </row>
    <row r="15" spans="2:5" x14ac:dyDescent="0.2">
      <c r="B15" t="s">
        <v>175</v>
      </c>
    </row>
    <row r="16" spans="2:5" x14ac:dyDescent="0.2">
      <c r="B16" t="s">
        <v>164</v>
      </c>
    </row>
    <row r="17" spans="2:2" x14ac:dyDescent="0.2">
      <c r="B17" t="s">
        <v>149</v>
      </c>
    </row>
    <row r="18" spans="2:2" x14ac:dyDescent="0.2">
      <c r="B18" t="s">
        <v>143</v>
      </c>
    </row>
    <row r="19" spans="2:2" x14ac:dyDescent="0.2">
      <c r="B19" t="s">
        <v>58</v>
      </c>
    </row>
    <row r="20" spans="2:2" x14ac:dyDescent="0.2">
      <c r="B20" t="s">
        <v>30</v>
      </c>
    </row>
    <row r="21" spans="2:2" x14ac:dyDescent="0.2">
      <c r="B21" t="s">
        <v>4</v>
      </c>
    </row>
    <row r="22" spans="2:2" x14ac:dyDescent="0.2">
      <c r="B22" t="s">
        <v>23</v>
      </c>
    </row>
    <row r="23" spans="2:2" x14ac:dyDescent="0.2">
      <c r="B23" t="s">
        <v>19</v>
      </c>
    </row>
    <row r="24" spans="2:2" x14ac:dyDescent="0.2">
      <c r="B24" t="s">
        <v>13</v>
      </c>
    </row>
    <row r="25" spans="2:2" x14ac:dyDescent="0.2">
      <c r="B25" t="s">
        <v>5</v>
      </c>
    </row>
    <row r="26" spans="2:2" x14ac:dyDescent="0.2">
      <c r="B26" t="s">
        <v>3</v>
      </c>
    </row>
    <row r="27" spans="2:2" x14ac:dyDescent="0.2">
      <c r="B27" t="s">
        <v>377</v>
      </c>
    </row>
    <row r="28" spans="2:2" x14ac:dyDescent="0.2">
      <c r="B28" t="s">
        <v>378</v>
      </c>
    </row>
    <row r="29" spans="2:2" x14ac:dyDescent="0.2">
      <c r="B29" t="s">
        <v>379</v>
      </c>
    </row>
    <row r="30" spans="2:2" x14ac:dyDescent="0.2">
      <c r="B30" t="s">
        <v>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8669-35A7-4A2F-B9A6-38803F7FB6E6}">
  <dimension ref="A1:S130"/>
  <sheetViews>
    <sheetView tabSelected="1" topLeftCell="A107" zoomScaleNormal="100" workbookViewId="0">
      <selection activeCell="H123" sqref="A123:XFD128"/>
    </sheetView>
  </sheetViews>
  <sheetFormatPr baseColWidth="10" defaultColWidth="8.83203125" defaultRowHeight="15" x14ac:dyDescent="0.2"/>
  <cols>
    <col min="1" max="1" width="8.1640625" style="15" bestFit="1" customWidth="1"/>
    <col min="2" max="2" width="12.33203125" style="15" bestFit="1" customWidth="1"/>
    <col min="3" max="3" width="5" style="31" bestFit="1" customWidth="1"/>
    <col min="4" max="4" width="27.1640625" style="31" bestFit="1" customWidth="1"/>
    <col min="5" max="5" width="5" style="31" bestFit="1" customWidth="1"/>
    <col min="6" max="6" width="25.83203125" style="31" bestFit="1" customWidth="1"/>
    <col min="7" max="7" width="5" style="31" bestFit="1" customWidth="1"/>
    <col min="8" max="8" width="25.5" style="31" bestFit="1" customWidth="1"/>
    <col min="9" max="9" width="28.5" style="21" bestFit="1" customWidth="1"/>
    <col min="10" max="10" width="42.6640625" style="23" customWidth="1"/>
    <col min="11" max="11" width="26" style="25" bestFit="1" customWidth="1"/>
    <col min="12" max="12" width="51" style="9" customWidth="1"/>
    <col min="13" max="13" width="50.6640625" style="27" customWidth="1"/>
    <col min="14" max="14" width="25.6640625" style="29" bestFit="1" customWidth="1"/>
    <col min="15" max="15" width="38.5" style="5" bestFit="1" customWidth="1"/>
  </cols>
  <sheetData>
    <row r="1" spans="1:19" x14ac:dyDescent="0.2">
      <c r="C1" s="3"/>
      <c r="D1" s="4"/>
      <c r="E1" s="4"/>
      <c r="F1" s="4"/>
      <c r="G1" s="4"/>
      <c r="H1" s="4"/>
      <c r="I1" s="19"/>
      <c r="J1" s="6"/>
      <c r="K1" s="7"/>
      <c r="L1" s="8"/>
      <c r="M1" s="10"/>
      <c r="N1" s="11"/>
    </row>
    <row r="2" spans="1:19" ht="17" thickBot="1" x14ac:dyDescent="0.25">
      <c r="B2" s="16" t="s">
        <v>363</v>
      </c>
      <c r="C2" s="20" t="s">
        <v>340</v>
      </c>
      <c r="D2" s="2"/>
      <c r="E2" s="2"/>
      <c r="F2" s="2"/>
      <c r="G2" s="2"/>
      <c r="H2" s="2"/>
      <c r="J2" s="141" t="s">
        <v>365</v>
      </c>
      <c r="K2" s="141"/>
      <c r="L2" s="141"/>
      <c r="M2" s="142" t="s">
        <v>369</v>
      </c>
      <c r="N2" s="142"/>
      <c r="O2" s="142"/>
    </row>
    <row r="3" spans="1:19" ht="17" thickBot="1" x14ac:dyDescent="0.25">
      <c r="C3" s="157" t="s">
        <v>368</v>
      </c>
      <c r="D3" s="158"/>
      <c r="E3" s="158"/>
      <c r="F3" s="158"/>
      <c r="G3" s="158"/>
      <c r="H3" s="158"/>
      <c r="I3" s="159"/>
      <c r="J3" s="135" t="s">
        <v>367</v>
      </c>
      <c r="K3" s="136"/>
      <c r="L3" s="137"/>
      <c r="M3" s="138" t="s">
        <v>371</v>
      </c>
      <c r="N3" s="139"/>
      <c r="O3" s="140"/>
      <c r="P3" s="1"/>
      <c r="Q3" s="1"/>
      <c r="R3" s="1"/>
      <c r="S3" s="1"/>
    </row>
    <row r="4" spans="1:19" ht="16" thickBot="1" x14ac:dyDescent="0.25">
      <c r="A4" s="153" t="s">
        <v>376</v>
      </c>
      <c r="B4" s="154"/>
      <c r="C4" s="155" t="s">
        <v>167</v>
      </c>
      <c r="D4" s="156"/>
      <c r="E4" s="156" t="s">
        <v>165</v>
      </c>
      <c r="F4" s="156"/>
      <c r="G4" s="156" t="s">
        <v>362</v>
      </c>
      <c r="H4" s="156"/>
      <c r="I4" s="14" t="s">
        <v>360</v>
      </c>
      <c r="J4" s="133" t="s">
        <v>167</v>
      </c>
      <c r="K4" s="143" t="s">
        <v>165</v>
      </c>
      <c r="L4" s="145" t="s">
        <v>362</v>
      </c>
      <c r="M4" s="147" t="s">
        <v>167</v>
      </c>
      <c r="N4" s="149" t="s">
        <v>165</v>
      </c>
      <c r="O4" s="151" t="s">
        <v>362</v>
      </c>
    </row>
    <row r="5" spans="1:19" ht="16" thickBot="1" x14ac:dyDescent="0.25">
      <c r="A5" s="17" t="s">
        <v>372</v>
      </c>
      <c r="B5" s="18" t="s">
        <v>366</v>
      </c>
      <c r="C5" s="30" t="s">
        <v>370</v>
      </c>
      <c r="D5" s="30" t="s">
        <v>361</v>
      </c>
      <c r="E5" s="30" t="s">
        <v>370</v>
      </c>
      <c r="F5" s="30" t="s">
        <v>361</v>
      </c>
      <c r="G5" s="30" t="s">
        <v>370</v>
      </c>
      <c r="H5" s="30" t="s">
        <v>361</v>
      </c>
      <c r="I5" s="32"/>
      <c r="J5" s="134"/>
      <c r="K5" s="144"/>
      <c r="L5" s="146"/>
      <c r="M5" s="148"/>
      <c r="N5" s="150"/>
      <c r="O5" s="152"/>
    </row>
    <row r="6" spans="1:19" x14ac:dyDescent="0.2">
      <c r="A6" s="15" t="s">
        <v>375</v>
      </c>
      <c r="B6" s="15" t="s">
        <v>374</v>
      </c>
      <c r="C6" s="31" t="s">
        <v>359</v>
      </c>
      <c r="D6" s="31" t="s">
        <v>358</v>
      </c>
      <c r="E6" s="31">
        <v>1</v>
      </c>
      <c r="F6" s="31" t="s">
        <v>357</v>
      </c>
      <c r="G6" s="31">
        <v>1</v>
      </c>
      <c r="H6" s="31" t="s">
        <v>356</v>
      </c>
      <c r="J6" s="42">
        <f>IF($A6="No",0,IF(ISBLANK($D6)=FALSE,CONCATENATE(,$C$2," ",$J$2," ",$C6," ",$D6),0))</f>
        <v>0</v>
      </c>
      <c r="K6" s="43">
        <f>IF(J6=0,0,IF(ISBLANK($F6)=FALSE,CONCATENATE(,$C$2," ",$J$2," ",$C6,$E6," ",$F6),0))</f>
        <v>0</v>
      </c>
      <c r="L6" s="44">
        <f>IF(K6=0,0,IF(ISBLANK($F6)=FALSE,CONCATENATE(,$C$2," ",$J$2," ",$C6,$E6,,"-",$G6,," ",$H6),0))</f>
        <v>0</v>
      </c>
      <c r="M6" s="33" t="str">
        <f>IF($B6="No",0,IF(ISBLANK($D6)=FALSE,CONCATENATE(,$C$2," ",$M$2," ",$C6," ",$D6),0))</f>
        <v>C PL A Sales Revenue</v>
      </c>
      <c r="N6" s="34" t="str">
        <f>IF(M6=0,0,IF(ISBLANK($F6)=FALSE,CONCATENATE(,$C$2," ",$M$2," ",$C6,$E6," ",$F6),0))</f>
        <v>C PL A1 Unit Sales</v>
      </c>
      <c r="O6" s="35" t="str">
        <f>IF(N6=0,0,IF(ISBLANK($F6)=FALSE,CONCATENATE(,$C$2," ",$M$2," ",$C6,$E6,,"-",$G6,," ",$H6),0))</f>
        <v>C PL A1-1 Apartment Sale</v>
      </c>
    </row>
    <row r="7" spans="1:19" x14ac:dyDescent="0.2">
      <c r="A7" s="15" t="s">
        <v>375</v>
      </c>
      <c r="B7" s="15" t="s">
        <v>374</v>
      </c>
      <c r="C7" s="31" t="s">
        <v>359</v>
      </c>
      <c r="D7" s="31" t="s">
        <v>358</v>
      </c>
      <c r="E7" s="31">
        <v>2</v>
      </c>
      <c r="F7" s="31" t="s">
        <v>355</v>
      </c>
      <c r="G7" s="31">
        <v>2</v>
      </c>
      <c r="H7" s="31" t="s">
        <v>354</v>
      </c>
      <c r="J7" s="42">
        <f t="shared" ref="J7:J71" si="0">IF($A7="No",0,IF(ISBLANK($D7)=FALSE,CONCATENATE(,$C$2," ",$J$2," ",$C7," ",$D7),0))</f>
        <v>0</v>
      </c>
      <c r="K7" s="43">
        <f t="shared" ref="K7:K8" si="1">IF(J7=0,0,IF(ISBLANK($F7)=FALSE,CONCATENATE(,$C$2," ",$J$2," ",$C7,$E7," ",$F7),0))</f>
        <v>0</v>
      </c>
      <c r="L7" s="44">
        <f t="shared" ref="L7:L8" si="2">IF(K7=0,0,IF(ISBLANK($F7)=FALSE,CONCATENATE(,$C$2," ",$J$2," ",$C7,$E7,,"-",$G7,," ",$H7),0))</f>
        <v>0</v>
      </c>
      <c r="M7" s="33" t="str">
        <f>IF($B7="No",0,IF(ISBLANK($D7)=FALSE,CONCATENATE(,$C$2," ",$M$2," ",$C7," ",$D7),0))</f>
        <v>C PL A Sales Revenue</v>
      </c>
      <c r="N7" s="34" t="str">
        <f>IF(M7=0,0,IF(ISBLANK($F7)=FALSE,CONCATENATE(,$C$2," ",$M$2," ",$C7,$E7," ",$F7),0))</f>
        <v>C PL A2 Parking Sales</v>
      </c>
      <c r="O7" s="35" t="str">
        <f>IF(N7=0,0,IF(ISBLANK($F7)=FALSE,CONCATENATE(,$C$2," ",$M$2," ",$C7,$E7,,"-",$G7,," ",$H7),0))</f>
        <v>C PL A2-2 Parking Slot Sale</v>
      </c>
    </row>
    <row r="8" spans="1:19" x14ac:dyDescent="0.2">
      <c r="A8" s="15" t="s">
        <v>375</v>
      </c>
      <c r="B8" s="15" t="s">
        <v>374</v>
      </c>
      <c r="C8" s="31" t="s">
        <v>359</v>
      </c>
      <c r="D8" s="31" t="s">
        <v>358</v>
      </c>
      <c r="E8" s="31">
        <v>3</v>
      </c>
      <c r="F8" s="31" t="s">
        <v>353</v>
      </c>
      <c r="G8" s="31">
        <v>3</v>
      </c>
      <c r="H8" s="31" t="s">
        <v>352</v>
      </c>
      <c r="J8" s="42">
        <f t="shared" si="0"/>
        <v>0</v>
      </c>
      <c r="K8" s="43">
        <f t="shared" si="1"/>
        <v>0</v>
      </c>
      <c r="L8" s="44">
        <f t="shared" si="2"/>
        <v>0</v>
      </c>
      <c r="M8" s="33" t="str">
        <f t="shared" ref="M8:M71" si="3">IF($B8="No",0,IF(ISBLANK($D8)=FALSE,CONCATENATE(,$C$2," ",$M$2," ",$C8," ",$D8),0))</f>
        <v>C PL A Sales Revenue</v>
      </c>
      <c r="N8" s="34" t="str">
        <f t="shared" ref="N8:N57" si="4">IF(M8=0,0,IF(ISBLANK($F8)=FALSE,CONCATENATE(,$C$2," ",$M$2," ",$C8,$E8," ",$F8),0))</f>
        <v>C PL A3 Amenity Sales</v>
      </c>
      <c r="O8" s="35" t="str">
        <f t="shared" ref="O8:O57" si="5">IF(N8=0,0,IF(ISBLANK($F8)=FALSE,CONCATENATE(,$C$2," ",$M$2," ",$C8,$E8,,"-",$G8,," ",$H8),0))</f>
        <v>C PL A3-3 Clubhouse / Amenity Charges</v>
      </c>
    </row>
    <row r="9" spans="1:19" x14ac:dyDescent="0.2">
      <c r="A9" s="15" t="s">
        <v>374</v>
      </c>
      <c r="B9" s="15" t="s">
        <v>375</v>
      </c>
      <c r="C9" s="31" t="s">
        <v>351</v>
      </c>
      <c r="D9" s="31" t="s">
        <v>350</v>
      </c>
      <c r="E9" s="31">
        <v>1</v>
      </c>
      <c r="F9" s="31" t="s">
        <v>349</v>
      </c>
      <c r="G9" s="31">
        <v>1</v>
      </c>
      <c r="H9" s="31" t="s">
        <v>348</v>
      </c>
      <c r="I9" s="21" t="s">
        <v>347</v>
      </c>
      <c r="J9" s="37" t="str">
        <f t="shared" si="0"/>
        <v>C CF B Customer Collections</v>
      </c>
      <c r="K9" s="38" t="str">
        <f t="shared" ref="K9:K72" si="6">IF($J9=0,0,IF(ISBLANK($F9)=FALSE,CONCATENATE(,$C$2," ",$J$2," ",$C9,$E9," ",$F9),0))</f>
        <v>C CF B1 Booking Amount</v>
      </c>
      <c r="L9" s="39" t="str">
        <f t="shared" ref="L9:L72" si="7">IF($K9=0,0,IF(ISBLANK($F9)=FALSE,CONCATENATE(,$C$2," ",$J$2," ",$C9,$E9,,"-",$G9,," ",$H9),0))</f>
        <v>C CF B1-1 Initial Booking</v>
      </c>
      <c r="M9" s="45">
        <f t="shared" si="3"/>
        <v>0</v>
      </c>
      <c r="N9" s="46">
        <f t="shared" si="4"/>
        <v>0</v>
      </c>
      <c r="O9" s="47">
        <f t="shared" si="5"/>
        <v>0</v>
      </c>
    </row>
    <row r="10" spans="1:19" x14ac:dyDescent="0.2">
      <c r="A10" s="15" t="s">
        <v>374</v>
      </c>
      <c r="B10" s="15" t="s">
        <v>375</v>
      </c>
      <c r="C10" s="31" t="s">
        <v>351</v>
      </c>
      <c r="D10" s="31" t="s">
        <v>350</v>
      </c>
      <c r="E10" s="31">
        <f>E9+1</f>
        <v>2</v>
      </c>
      <c r="F10" s="31" t="s">
        <v>346</v>
      </c>
      <c r="G10" s="31">
        <v>2</v>
      </c>
      <c r="H10" s="31" t="s">
        <v>345</v>
      </c>
      <c r="I10" s="21" t="s">
        <v>344</v>
      </c>
      <c r="J10" s="37" t="str">
        <f t="shared" si="0"/>
        <v>C CF B Customer Collections</v>
      </c>
      <c r="K10" s="38" t="str">
        <f t="shared" si="6"/>
        <v>C CF B2 Milestone Collections</v>
      </c>
      <c r="L10" s="39" t="str">
        <f t="shared" si="7"/>
        <v>C CF B2-2 Construction Linked Payment</v>
      </c>
      <c r="M10" s="45">
        <f t="shared" si="3"/>
        <v>0</v>
      </c>
      <c r="N10" s="46">
        <f t="shared" si="4"/>
        <v>0</v>
      </c>
      <c r="O10" s="47">
        <f t="shared" si="5"/>
        <v>0</v>
      </c>
    </row>
    <row r="11" spans="1:19" x14ac:dyDescent="0.2">
      <c r="A11" s="15" t="s">
        <v>374</v>
      </c>
      <c r="B11" s="15" t="s">
        <v>375</v>
      </c>
      <c r="C11" s="31" t="s">
        <v>351</v>
      </c>
      <c r="D11" s="31" t="s">
        <v>350</v>
      </c>
      <c r="E11" s="31">
        <f t="shared" ref="E11" si="8">E10+1</f>
        <v>3</v>
      </c>
      <c r="F11" s="31" t="s">
        <v>343</v>
      </c>
      <c r="G11" s="31">
        <v>3</v>
      </c>
      <c r="H11" s="31" t="s">
        <v>342</v>
      </c>
      <c r="I11" s="21" t="s">
        <v>341</v>
      </c>
      <c r="J11" s="37" t="str">
        <f t="shared" si="0"/>
        <v>C CF B Customer Collections</v>
      </c>
      <c r="K11" s="38" t="str">
        <f t="shared" si="6"/>
        <v>C CF B3 Possession Collections</v>
      </c>
      <c r="L11" s="39" t="str">
        <f t="shared" si="7"/>
        <v>C CF B3-3 Possession Payment</v>
      </c>
      <c r="M11" s="45">
        <f t="shared" si="3"/>
        <v>0</v>
      </c>
      <c r="N11" s="46">
        <f t="shared" si="4"/>
        <v>0</v>
      </c>
      <c r="O11" s="47">
        <f t="shared" si="5"/>
        <v>0</v>
      </c>
    </row>
    <row r="12" spans="1:19" x14ac:dyDescent="0.2">
      <c r="A12" s="15" t="s">
        <v>374</v>
      </c>
      <c r="B12" s="15" t="s">
        <v>374</v>
      </c>
      <c r="C12" s="31" t="s">
        <v>340</v>
      </c>
      <c r="D12" s="31" t="s">
        <v>291</v>
      </c>
      <c r="E12" s="31">
        <v>1</v>
      </c>
      <c r="F12" s="31" t="s">
        <v>141</v>
      </c>
      <c r="G12" s="31">
        <v>1</v>
      </c>
      <c r="H12" s="31" t="s">
        <v>140</v>
      </c>
      <c r="J12" s="37" t="str">
        <f t="shared" si="0"/>
        <v>C CF C Construction Cost</v>
      </c>
      <c r="K12" s="38" t="str">
        <f t="shared" si="6"/>
        <v>C CF C1 RCC Structure</v>
      </c>
      <c r="L12" s="39" t="str">
        <f t="shared" si="7"/>
        <v>C CF C1-1 Steel</v>
      </c>
      <c r="M12" s="33" t="str">
        <f t="shared" si="3"/>
        <v>C PL C Construction Cost</v>
      </c>
      <c r="N12" s="34" t="str">
        <f t="shared" si="4"/>
        <v>C PL C1 RCC Structure</v>
      </c>
      <c r="O12" s="41" t="str">
        <f t="shared" si="5"/>
        <v>C PL C1-1 Steel</v>
      </c>
    </row>
    <row r="13" spans="1:19" x14ac:dyDescent="0.2">
      <c r="A13" s="15" t="s">
        <v>374</v>
      </c>
      <c r="B13" s="15" t="s">
        <v>374</v>
      </c>
      <c r="C13" s="31" t="s">
        <v>340</v>
      </c>
      <c r="D13" s="31" t="s">
        <v>291</v>
      </c>
      <c r="E13" s="31">
        <v>1</v>
      </c>
      <c r="F13" s="31" t="s">
        <v>141</v>
      </c>
      <c r="G13" s="31">
        <f>+G12+1</f>
        <v>2</v>
      </c>
      <c r="H13" s="31" t="s">
        <v>138</v>
      </c>
      <c r="I13" s="21" t="s">
        <v>139</v>
      </c>
      <c r="J13" s="37" t="str">
        <f t="shared" si="0"/>
        <v>C CF C Construction Cost</v>
      </c>
      <c r="K13" s="38" t="str">
        <f t="shared" si="6"/>
        <v>C CF C1 RCC Structure</v>
      </c>
      <c r="L13" s="39" t="str">
        <f t="shared" si="7"/>
        <v>C CF C1-2 Cement</v>
      </c>
      <c r="M13" s="33" t="str">
        <f t="shared" si="3"/>
        <v>C PL C Construction Cost</v>
      </c>
      <c r="N13" s="34" t="str">
        <f t="shared" si="4"/>
        <v>C PL C1 RCC Structure</v>
      </c>
      <c r="O13" s="41" t="str">
        <f t="shared" si="5"/>
        <v>C PL C1-2 Cement</v>
      </c>
    </row>
    <row r="14" spans="1:19" x14ac:dyDescent="0.2">
      <c r="A14" s="15" t="s">
        <v>374</v>
      </c>
      <c r="B14" s="15" t="s">
        <v>374</v>
      </c>
      <c r="C14" s="31" t="s">
        <v>340</v>
      </c>
      <c r="D14" s="31" t="s">
        <v>291</v>
      </c>
      <c r="E14" s="31">
        <v>1</v>
      </c>
      <c r="F14" s="31" t="s">
        <v>141</v>
      </c>
      <c r="G14" s="31">
        <f t="shared" ref="G14:G26" si="9">+G13+1</f>
        <v>3</v>
      </c>
      <c r="H14" s="31" t="s">
        <v>136</v>
      </c>
      <c r="I14" s="21" t="s">
        <v>137</v>
      </c>
      <c r="J14" s="37" t="str">
        <f t="shared" si="0"/>
        <v>C CF C Construction Cost</v>
      </c>
      <c r="K14" s="38" t="str">
        <f t="shared" si="6"/>
        <v>C CF C1 RCC Structure</v>
      </c>
      <c r="L14" s="39" t="str">
        <f t="shared" si="7"/>
        <v>C CF C1-3 Sand</v>
      </c>
      <c r="M14" s="33" t="str">
        <f t="shared" si="3"/>
        <v>C PL C Construction Cost</v>
      </c>
      <c r="N14" s="34" t="str">
        <f t="shared" si="4"/>
        <v>C PL C1 RCC Structure</v>
      </c>
      <c r="O14" s="41" t="str">
        <f t="shared" si="5"/>
        <v>C PL C1-3 Sand</v>
      </c>
    </row>
    <row r="15" spans="1:19" x14ac:dyDescent="0.2">
      <c r="A15" s="15" t="s">
        <v>374</v>
      </c>
      <c r="B15" s="15" t="s">
        <v>374</v>
      </c>
      <c r="C15" s="31" t="s">
        <v>340</v>
      </c>
      <c r="D15" s="31" t="s">
        <v>291</v>
      </c>
      <c r="E15" s="31">
        <v>1</v>
      </c>
      <c r="F15" s="31" t="s">
        <v>141</v>
      </c>
      <c r="G15" s="31">
        <f t="shared" si="9"/>
        <v>4</v>
      </c>
      <c r="H15" s="31" t="s">
        <v>134</v>
      </c>
      <c r="I15" s="21" t="s">
        <v>135</v>
      </c>
      <c r="J15" s="37" t="str">
        <f t="shared" si="0"/>
        <v>C CF C Construction Cost</v>
      </c>
      <c r="K15" s="38" t="str">
        <f t="shared" si="6"/>
        <v>C CF C1 RCC Structure</v>
      </c>
      <c r="L15" s="39" t="str">
        <f t="shared" si="7"/>
        <v>C CF C1-4 Aggregate</v>
      </c>
      <c r="M15" s="33" t="str">
        <f t="shared" si="3"/>
        <v>C PL C Construction Cost</v>
      </c>
      <c r="N15" s="34" t="str">
        <f t="shared" si="4"/>
        <v>C PL C1 RCC Structure</v>
      </c>
      <c r="O15" s="41" t="str">
        <f t="shared" si="5"/>
        <v>C PL C1-4 Aggregate</v>
      </c>
    </row>
    <row r="16" spans="1:19" x14ac:dyDescent="0.2">
      <c r="A16" s="15" t="s">
        <v>374</v>
      </c>
      <c r="B16" s="15" t="s">
        <v>374</v>
      </c>
      <c r="C16" s="31" t="s">
        <v>340</v>
      </c>
      <c r="D16" s="31" t="s">
        <v>291</v>
      </c>
      <c r="E16" s="31">
        <v>1</v>
      </c>
      <c r="F16" s="31" t="s">
        <v>141</v>
      </c>
      <c r="G16" s="31">
        <f t="shared" si="9"/>
        <v>5</v>
      </c>
      <c r="H16" s="31" t="s">
        <v>132</v>
      </c>
      <c r="I16" s="21" t="s">
        <v>133</v>
      </c>
      <c r="J16" s="37" t="str">
        <f t="shared" si="0"/>
        <v>C CF C Construction Cost</v>
      </c>
      <c r="K16" s="38" t="str">
        <f t="shared" si="6"/>
        <v>C CF C1 RCC Structure</v>
      </c>
      <c r="L16" s="39" t="str">
        <f t="shared" si="7"/>
        <v>C CF C1-5 RCC Labour</v>
      </c>
      <c r="M16" s="33" t="str">
        <f t="shared" si="3"/>
        <v>C PL C Construction Cost</v>
      </c>
      <c r="N16" s="34" t="str">
        <f t="shared" si="4"/>
        <v>C PL C1 RCC Structure</v>
      </c>
      <c r="O16" s="41" t="str">
        <f t="shared" si="5"/>
        <v>C PL C1-5 RCC Labour</v>
      </c>
    </row>
    <row r="17" spans="1:15" x14ac:dyDescent="0.2">
      <c r="A17" s="15" t="s">
        <v>374</v>
      </c>
      <c r="B17" s="15" t="s">
        <v>374</v>
      </c>
      <c r="C17" s="31" t="s">
        <v>340</v>
      </c>
      <c r="D17" s="31" t="s">
        <v>291</v>
      </c>
      <c r="E17" s="31">
        <v>1</v>
      </c>
      <c r="F17" s="31" t="s">
        <v>141</v>
      </c>
      <c r="G17" s="31">
        <f t="shared" si="9"/>
        <v>6</v>
      </c>
      <c r="H17" s="31" t="s">
        <v>130</v>
      </c>
      <c r="I17" s="21" t="s">
        <v>131</v>
      </c>
      <c r="J17" s="37" t="str">
        <f t="shared" si="0"/>
        <v>C CF C Construction Cost</v>
      </c>
      <c r="K17" s="38" t="str">
        <f t="shared" si="6"/>
        <v>C CF C1 RCC Structure</v>
      </c>
      <c r="L17" s="39" t="str">
        <f t="shared" si="7"/>
        <v>C CF C1-6 Shuttering</v>
      </c>
      <c r="M17" s="33" t="str">
        <f t="shared" si="3"/>
        <v>C PL C Construction Cost</v>
      </c>
      <c r="N17" s="34" t="str">
        <f t="shared" si="4"/>
        <v>C PL C1 RCC Structure</v>
      </c>
      <c r="O17" s="41" t="str">
        <f t="shared" si="5"/>
        <v>C PL C1-6 Shuttering</v>
      </c>
    </row>
    <row r="18" spans="1:15" x14ac:dyDescent="0.2">
      <c r="A18" s="15" t="s">
        <v>374</v>
      </c>
      <c r="B18" s="15" t="s">
        <v>374</v>
      </c>
      <c r="C18" s="31" t="s">
        <v>340</v>
      </c>
      <c r="D18" s="31" t="s">
        <v>291</v>
      </c>
      <c r="E18" s="31">
        <v>1</v>
      </c>
      <c r="F18" s="31" t="s">
        <v>141</v>
      </c>
      <c r="G18" s="31">
        <f t="shared" si="9"/>
        <v>7</v>
      </c>
      <c r="H18" s="31" t="s">
        <v>128</v>
      </c>
      <c r="I18" s="21" t="s">
        <v>129</v>
      </c>
      <c r="J18" s="37" t="str">
        <f t="shared" si="0"/>
        <v>C CF C Construction Cost</v>
      </c>
      <c r="K18" s="38" t="str">
        <f t="shared" si="6"/>
        <v>C CF C1 RCC Structure</v>
      </c>
      <c r="L18" s="39" t="str">
        <f t="shared" si="7"/>
        <v>C CF C1-7 Concrete Pump</v>
      </c>
      <c r="M18" s="33" t="str">
        <f t="shared" si="3"/>
        <v>C PL C Construction Cost</v>
      </c>
      <c r="N18" s="34" t="str">
        <f t="shared" si="4"/>
        <v>C PL C1 RCC Structure</v>
      </c>
      <c r="O18" s="41" t="str">
        <f t="shared" si="5"/>
        <v>C PL C1-7 Concrete Pump</v>
      </c>
    </row>
    <row r="19" spans="1:15" x14ac:dyDescent="0.2">
      <c r="A19" s="15" t="s">
        <v>374</v>
      </c>
      <c r="B19" s="15" t="s">
        <v>374</v>
      </c>
      <c r="C19" s="31" t="s">
        <v>340</v>
      </c>
      <c r="D19" s="31" t="s">
        <v>291</v>
      </c>
      <c r="E19" s="31">
        <v>1</v>
      </c>
      <c r="F19" s="31" t="s">
        <v>141</v>
      </c>
      <c r="G19" s="31">
        <f t="shared" si="9"/>
        <v>8</v>
      </c>
      <c r="H19" s="31" t="s">
        <v>290</v>
      </c>
      <c r="I19" s="21" t="s">
        <v>127</v>
      </c>
      <c r="J19" s="37" t="str">
        <f t="shared" si="0"/>
        <v>C CF C Construction Cost</v>
      </c>
      <c r="K19" s="38" t="str">
        <f t="shared" si="6"/>
        <v>C CF C1 RCC Structure</v>
      </c>
      <c r="L19" s="39" t="str">
        <f t="shared" si="7"/>
        <v>C CF C1-8 Corrugated sheet</v>
      </c>
      <c r="M19" s="33" t="str">
        <f t="shared" si="3"/>
        <v>C PL C Construction Cost</v>
      </c>
      <c r="N19" s="34" t="str">
        <f t="shared" si="4"/>
        <v>C PL C1 RCC Structure</v>
      </c>
      <c r="O19" s="41" t="str">
        <f t="shared" si="5"/>
        <v>C PL C1-8 Corrugated sheet</v>
      </c>
    </row>
    <row r="20" spans="1:15" x14ac:dyDescent="0.2">
      <c r="A20" s="15" t="s">
        <v>374</v>
      </c>
      <c r="B20" s="15" t="s">
        <v>374</v>
      </c>
      <c r="C20" s="31" t="s">
        <v>340</v>
      </c>
      <c r="D20" s="31" t="s">
        <v>291</v>
      </c>
      <c r="E20" s="31">
        <v>1</v>
      </c>
      <c r="F20" s="31" t="s">
        <v>141</v>
      </c>
      <c r="G20" s="31">
        <f t="shared" si="9"/>
        <v>9</v>
      </c>
      <c r="H20" s="31" t="s">
        <v>389</v>
      </c>
      <c r="I20" s="21" t="s">
        <v>290</v>
      </c>
      <c r="J20" s="37" t="str">
        <f t="shared" si="0"/>
        <v>C CF C Construction Cost</v>
      </c>
      <c r="K20" s="38" t="str">
        <f t="shared" si="6"/>
        <v>C CF C1 RCC Structure</v>
      </c>
      <c r="L20" s="39" t="str">
        <f t="shared" si="7"/>
        <v xml:space="preserve">C CF C1-9 RCC Work- Slab </v>
      </c>
      <c r="M20" s="33" t="str">
        <f t="shared" si="3"/>
        <v>C PL C Construction Cost</v>
      </c>
      <c r="N20" s="34" t="str">
        <f t="shared" si="4"/>
        <v>C PL C1 RCC Structure</v>
      </c>
      <c r="O20" s="41" t="str">
        <f t="shared" si="5"/>
        <v xml:space="preserve">C PL C1-9 RCC Work- Slab </v>
      </c>
    </row>
    <row r="21" spans="1:15" x14ac:dyDescent="0.2">
      <c r="A21" s="15" t="s">
        <v>374</v>
      </c>
      <c r="B21" s="15" t="s">
        <v>374</v>
      </c>
      <c r="C21" s="31" t="s">
        <v>340</v>
      </c>
      <c r="D21" s="31" t="s">
        <v>291</v>
      </c>
      <c r="E21" s="31">
        <v>1</v>
      </c>
      <c r="F21" s="31" t="s">
        <v>141</v>
      </c>
      <c r="G21" s="31">
        <f t="shared" si="9"/>
        <v>10</v>
      </c>
      <c r="H21" s="31" t="s">
        <v>289</v>
      </c>
      <c r="J21" s="37" t="str">
        <f t="shared" si="0"/>
        <v>C CF C Construction Cost</v>
      </c>
      <c r="K21" s="38" t="str">
        <f t="shared" si="6"/>
        <v>C CF C1 RCC Structure</v>
      </c>
      <c r="L21" s="39" t="str">
        <f t="shared" si="7"/>
        <v>C CF C1-10 Fastone</v>
      </c>
      <c r="M21" s="33" t="str">
        <f t="shared" si="3"/>
        <v>C PL C Construction Cost</v>
      </c>
      <c r="N21" s="34" t="str">
        <f t="shared" si="4"/>
        <v>C PL C1 RCC Structure</v>
      </c>
      <c r="O21" s="41" t="str">
        <f t="shared" si="5"/>
        <v>C PL C1-10 Fastone</v>
      </c>
    </row>
    <row r="22" spans="1:15" x14ac:dyDescent="0.2">
      <c r="A22" s="15" t="s">
        <v>374</v>
      </c>
      <c r="B22" s="15" t="s">
        <v>374</v>
      </c>
      <c r="C22" s="31" t="s">
        <v>340</v>
      </c>
      <c r="D22" s="31" t="s">
        <v>291</v>
      </c>
      <c r="E22" s="31">
        <v>1</v>
      </c>
      <c r="F22" s="31" t="s">
        <v>141</v>
      </c>
      <c r="G22" s="31">
        <f t="shared" si="9"/>
        <v>11</v>
      </c>
      <c r="H22" s="31" t="s">
        <v>288</v>
      </c>
      <c r="J22" s="37" t="str">
        <f t="shared" si="0"/>
        <v>C CF C Construction Cost</v>
      </c>
      <c r="K22" s="38" t="str">
        <f t="shared" si="6"/>
        <v>C CF C1 RCC Structure</v>
      </c>
      <c r="L22" s="39" t="str">
        <f t="shared" si="7"/>
        <v>C CF C1-11 Concrete Work</v>
      </c>
      <c r="M22" s="33" t="str">
        <f t="shared" si="3"/>
        <v>C PL C Construction Cost</v>
      </c>
      <c r="N22" s="34" t="str">
        <f t="shared" si="4"/>
        <v>C PL C1 RCC Structure</v>
      </c>
      <c r="O22" s="41" t="str">
        <f t="shared" si="5"/>
        <v>C PL C1-11 Concrete Work</v>
      </c>
    </row>
    <row r="23" spans="1:15" x14ac:dyDescent="0.2">
      <c r="A23" s="15" t="s">
        <v>374</v>
      </c>
      <c r="B23" s="15" t="s">
        <v>374</v>
      </c>
      <c r="C23" s="31" t="s">
        <v>340</v>
      </c>
      <c r="D23" s="31" t="s">
        <v>291</v>
      </c>
      <c r="E23" s="31">
        <v>1</v>
      </c>
      <c r="F23" s="31" t="s">
        <v>141</v>
      </c>
      <c r="G23" s="31">
        <f t="shared" si="9"/>
        <v>12</v>
      </c>
      <c r="H23" s="31" t="s">
        <v>287</v>
      </c>
      <c r="J23" s="37" t="str">
        <f t="shared" si="0"/>
        <v>C CF C Construction Cost</v>
      </c>
      <c r="K23" s="38" t="str">
        <f t="shared" si="6"/>
        <v>C CF C1 RCC Structure</v>
      </c>
      <c r="L23" s="39" t="str">
        <f t="shared" si="7"/>
        <v>C CF C1-12 Piling Work</v>
      </c>
      <c r="M23" s="33" t="str">
        <f t="shared" si="3"/>
        <v>C PL C Construction Cost</v>
      </c>
      <c r="N23" s="34" t="str">
        <f t="shared" si="4"/>
        <v>C PL C1 RCC Structure</v>
      </c>
      <c r="O23" s="41" t="str">
        <f t="shared" si="5"/>
        <v>C PL C1-12 Piling Work</v>
      </c>
    </row>
    <row r="24" spans="1:15" x14ac:dyDescent="0.2">
      <c r="A24" s="15" t="s">
        <v>374</v>
      </c>
      <c r="B24" s="15" t="s">
        <v>374</v>
      </c>
      <c r="C24" s="31" t="s">
        <v>340</v>
      </c>
      <c r="D24" s="31" t="s">
        <v>291</v>
      </c>
      <c r="E24" s="31">
        <v>1</v>
      </c>
      <c r="F24" s="31" t="s">
        <v>141</v>
      </c>
      <c r="G24" s="31">
        <f t="shared" si="9"/>
        <v>13</v>
      </c>
      <c r="H24" s="31" t="s">
        <v>286</v>
      </c>
      <c r="J24" s="37" t="str">
        <f t="shared" si="0"/>
        <v>C CF C Construction Cost</v>
      </c>
      <c r="K24" s="38" t="str">
        <f t="shared" si="6"/>
        <v>C CF C1 RCC Structure</v>
      </c>
      <c r="L24" s="39" t="str">
        <f t="shared" si="7"/>
        <v>C CF C1-13 Ready Mix Concreate Material</v>
      </c>
      <c r="M24" s="33" t="str">
        <f t="shared" si="3"/>
        <v>C PL C Construction Cost</v>
      </c>
      <c r="N24" s="34" t="str">
        <f t="shared" si="4"/>
        <v>C PL C1 RCC Structure</v>
      </c>
      <c r="O24" s="41" t="str">
        <f t="shared" si="5"/>
        <v>C PL C1-13 Ready Mix Concreate Material</v>
      </c>
    </row>
    <row r="25" spans="1:15" x14ac:dyDescent="0.2">
      <c r="A25" s="15" t="s">
        <v>374</v>
      </c>
      <c r="B25" s="15" t="s">
        <v>374</v>
      </c>
      <c r="C25" s="31" t="s">
        <v>340</v>
      </c>
      <c r="D25" s="31" t="s">
        <v>291</v>
      </c>
      <c r="E25" s="31">
        <v>1</v>
      </c>
      <c r="F25" s="31" t="s">
        <v>141</v>
      </c>
      <c r="G25" s="31">
        <f t="shared" si="9"/>
        <v>14</v>
      </c>
      <c r="H25" s="31" t="s">
        <v>285</v>
      </c>
      <c r="J25" s="37" t="str">
        <f t="shared" si="0"/>
        <v>C CF C Construction Cost</v>
      </c>
      <c r="K25" s="38" t="str">
        <f t="shared" si="6"/>
        <v>C CF C1 RCC Structure</v>
      </c>
      <c r="L25" s="39" t="str">
        <f t="shared" si="7"/>
        <v>C CF C1-14 Core Cutting</v>
      </c>
      <c r="M25" s="33" t="str">
        <f t="shared" si="3"/>
        <v>C PL C Construction Cost</v>
      </c>
      <c r="N25" s="34" t="str">
        <f t="shared" si="4"/>
        <v>C PL C1 RCC Structure</v>
      </c>
      <c r="O25" s="41" t="str">
        <f t="shared" si="5"/>
        <v>C PL C1-14 Core Cutting</v>
      </c>
    </row>
    <row r="26" spans="1:15" x14ac:dyDescent="0.2">
      <c r="A26" s="15" t="s">
        <v>374</v>
      </c>
      <c r="B26" s="15" t="s">
        <v>374</v>
      </c>
      <c r="C26" s="31" t="s">
        <v>340</v>
      </c>
      <c r="D26" s="31" t="s">
        <v>291</v>
      </c>
      <c r="E26" s="31">
        <v>1</v>
      </c>
      <c r="F26" s="31" t="s">
        <v>141</v>
      </c>
      <c r="G26" s="31">
        <f t="shared" si="9"/>
        <v>15</v>
      </c>
      <c r="H26" s="31" t="s">
        <v>161</v>
      </c>
      <c r="J26" s="37" t="str">
        <f t="shared" si="0"/>
        <v>C CF C Construction Cost</v>
      </c>
      <c r="K26" s="38" t="str">
        <f t="shared" si="6"/>
        <v>C CF C1 RCC Structure</v>
      </c>
      <c r="L26" s="39" t="str">
        <f t="shared" si="7"/>
        <v>C CF C1-15 Rubble Stone</v>
      </c>
      <c r="M26" s="33" t="str">
        <f t="shared" si="3"/>
        <v>C PL C Construction Cost</v>
      </c>
      <c r="N26" s="34" t="str">
        <f t="shared" si="4"/>
        <v>C PL C1 RCC Structure</v>
      </c>
      <c r="O26" s="41" t="str">
        <f t="shared" si="5"/>
        <v>C PL C1-15 Rubble Stone</v>
      </c>
    </row>
    <row r="27" spans="1:15" x14ac:dyDescent="0.2">
      <c r="A27" s="15" t="s">
        <v>374</v>
      </c>
      <c r="B27" s="15" t="s">
        <v>374</v>
      </c>
      <c r="C27" s="31" t="s">
        <v>340</v>
      </c>
      <c r="D27" s="31" t="s">
        <v>291</v>
      </c>
      <c r="E27" s="31">
        <v>2</v>
      </c>
      <c r="F27" s="31" t="s">
        <v>126</v>
      </c>
      <c r="G27" s="31">
        <v>1</v>
      </c>
      <c r="H27" s="31" t="s">
        <v>125</v>
      </c>
      <c r="I27" s="21" t="s">
        <v>124</v>
      </c>
      <c r="J27" s="37" t="str">
        <f t="shared" si="0"/>
        <v>C CF C Construction Cost</v>
      </c>
      <c r="K27" s="38" t="str">
        <f t="shared" si="6"/>
        <v>C CF C2 Brickwork</v>
      </c>
      <c r="L27" s="39" t="str">
        <f t="shared" si="7"/>
        <v>C CF C2-1 Bricks/Blocks</v>
      </c>
      <c r="M27" s="33" t="str">
        <f t="shared" si="3"/>
        <v>C PL C Construction Cost</v>
      </c>
      <c r="N27" s="34" t="str">
        <f t="shared" si="4"/>
        <v>C PL C2 Brickwork</v>
      </c>
      <c r="O27" s="41" t="str">
        <f t="shared" si="5"/>
        <v>C PL C2-1 Bricks/Blocks</v>
      </c>
    </row>
    <row r="28" spans="1:15" x14ac:dyDescent="0.2">
      <c r="A28" s="15" t="s">
        <v>374</v>
      </c>
      <c r="B28" s="15" t="s">
        <v>374</v>
      </c>
      <c r="C28" s="31" t="s">
        <v>340</v>
      </c>
      <c r="D28" s="31" t="s">
        <v>291</v>
      </c>
      <c r="E28" s="31">
        <v>2</v>
      </c>
      <c r="F28" s="31" t="s">
        <v>126</v>
      </c>
      <c r="G28" s="31">
        <f>+G27+1</f>
        <v>2</v>
      </c>
      <c r="H28" s="31" t="s">
        <v>123</v>
      </c>
      <c r="I28" s="21" t="s">
        <v>122</v>
      </c>
      <c r="J28" s="37" t="str">
        <f t="shared" si="0"/>
        <v>C CF C Construction Cost</v>
      </c>
      <c r="K28" s="38" t="str">
        <f t="shared" si="6"/>
        <v>C CF C2 Brickwork</v>
      </c>
      <c r="L28" s="39" t="str">
        <f t="shared" si="7"/>
        <v>C CF C2-2 Mortar</v>
      </c>
      <c r="M28" s="33" t="str">
        <f t="shared" si="3"/>
        <v>C PL C Construction Cost</v>
      </c>
      <c r="N28" s="34" t="str">
        <f t="shared" si="4"/>
        <v>C PL C2 Brickwork</v>
      </c>
      <c r="O28" s="41" t="str">
        <f t="shared" si="5"/>
        <v>C PL C2-2 Mortar</v>
      </c>
    </row>
    <row r="29" spans="1:15" x14ac:dyDescent="0.2">
      <c r="A29" s="15" t="s">
        <v>374</v>
      </c>
      <c r="B29" s="15" t="s">
        <v>374</v>
      </c>
      <c r="C29" s="31" t="s">
        <v>340</v>
      </c>
      <c r="D29" s="31" t="s">
        <v>291</v>
      </c>
      <c r="E29" s="31">
        <v>2</v>
      </c>
      <c r="F29" s="31" t="s">
        <v>126</v>
      </c>
      <c r="G29" s="31">
        <f t="shared" ref="G29:G32" si="10">+G28+1</f>
        <v>3</v>
      </c>
      <c r="H29" s="31" t="s">
        <v>121</v>
      </c>
      <c r="I29" s="21" t="s">
        <v>120</v>
      </c>
      <c r="J29" s="37" t="str">
        <f t="shared" si="0"/>
        <v>C CF C Construction Cost</v>
      </c>
      <c r="K29" s="38" t="str">
        <f t="shared" si="6"/>
        <v>C CF C2 Brickwork</v>
      </c>
      <c r="L29" s="39" t="str">
        <f t="shared" si="7"/>
        <v>C CF C2-3 Brickwork Labour</v>
      </c>
      <c r="M29" s="33" t="str">
        <f t="shared" si="3"/>
        <v>C PL C Construction Cost</v>
      </c>
      <c r="N29" s="34" t="str">
        <f t="shared" si="4"/>
        <v>C PL C2 Brickwork</v>
      </c>
      <c r="O29" s="41" t="str">
        <f t="shared" si="5"/>
        <v>C PL C2-3 Brickwork Labour</v>
      </c>
    </row>
    <row r="30" spans="1:15" x14ac:dyDescent="0.2">
      <c r="A30" s="15" t="s">
        <v>374</v>
      </c>
      <c r="B30" s="15" t="s">
        <v>374</v>
      </c>
      <c r="C30" s="31" t="s">
        <v>340</v>
      </c>
      <c r="D30" s="31" t="s">
        <v>291</v>
      </c>
      <c r="E30" s="31">
        <v>2</v>
      </c>
      <c r="F30" s="31" t="s">
        <v>126</v>
      </c>
      <c r="G30" s="31">
        <f t="shared" si="10"/>
        <v>4</v>
      </c>
      <c r="H30" s="31" t="s">
        <v>284</v>
      </c>
      <c r="J30" s="37" t="str">
        <f t="shared" si="0"/>
        <v>C CF C Construction Cost</v>
      </c>
      <c r="K30" s="38" t="str">
        <f t="shared" si="6"/>
        <v>C CF C2 Brickwork</v>
      </c>
      <c r="L30" s="39" t="str">
        <f t="shared" si="7"/>
        <v>C CF C2-4 Bambu &amp; Brics</v>
      </c>
      <c r="M30" s="33" t="str">
        <f t="shared" si="3"/>
        <v>C PL C Construction Cost</v>
      </c>
      <c r="N30" s="34" t="str">
        <f t="shared" si="4"/>
        <v>C PL C2 Brickwork</v>
      </c>
      <c r="O30" s="41" t="str">
        <f t="shared" si="5"/>
        <v>C PL C2-4 Bambu &amp; Brics</v>
      </c>
    </row>
    <row r="31" spans="1:15" x14ac:dyDescent="0.2">
      <c r="A31" s="15" t="s">
        <v>374</v>
      </c>
      <c r="B31" s="15" t="s">
        <v>374</v>
      </c>
      <c r="C31" s="31" t="s">
        <v>340</v>
      </c>
      <c r="D31" s="31" t="s">
        <v>291</v>
      </c>
      <c r="E31" s="31">
        <v>2</v>
      </c>
      <c r="F31" s="31" t="s">
        <v>126</v>
      </c>
      <c r="G31" s="31">
        <f t="shared" si="10"/>
        <v>5</v>
      </c>
      <c r="H31" s="31" t="s">
        <v>283</v>
      </c>
      <c r="J31" s="37" t="str">
        <f t="shared" si="0"/>
        <v>C CF C Construction Cost</v>
      </c>
      <c r="K31" s="38" t="str">
        <f t="shared" si="6"/>
        <v>C CF C2 Brickwork</v>
      </c>
      <c r="L31" s="39" t="str">
        <f t="shared" si="7"/>
        <v>C CF C2-5 Chemical</v>
      </c>
      <c r="M31" s="33" t="str">
        <f t="shared" si="3"/>
        <v>C PL C Construction Cost</v>
      </c>
      <c r="N31" s="34" t="str">
        <f t="shared" si="4"/>
        <v>C PL C2 Brickwork</v>
      </c>
      <c r="O31" s="41" t="str">
        <f t="shared" si="5"/>
        <v>C PL C2-5 Chemical</v>
      </c>
    </row>
    <row r="32" spans="1:15" x14ac:dyDescent="0.2">
      <c r="A32" s="15" t="s">
        <v>374</v>
      </c>
      <c r="B32" s="15" t="s">
        <v>374</v>
      </c>
      <c r="C32" s="31" t="s">
        <v>340</v>
      </c>
      <c r="D32" s="31" t="s">
        <v>291</v>
      </c>
      <c r="E32" s="31">
        <v>2</v>
      </c>
      <c r="F32" s="31" t="s">
        <v>126</v>
      </c>
      <c r="G32" s="31">
        <f t="shared" si="10"/>
        <v>6</v>
      </c>
      <c r="H32" s="31" t="s">
        <v>282</v>
      </c>
      <c r="J32" s="37" t="str">
        <f t="shared" si="0"/>
        <v>C CF C Construction Cost</v>
      </c>
      <c r="K32" s="38" t="str">
        <f t="shared" si="6"/>
        <v>C CF C2 Brickwork</v>
      </c>
      <c r="L32" s="39" t="str">
        <f t="shared" si="7"/>
        <v>C CF C2-6 Popular Blockset</v>
      </c>
      <c r="M32" s="33" t="str">
        <f t="shared" si="3"/>
        <v>C PL C Construction Cost</v>
      </c>
      <c r="N32" s="34" t="str">
        <f t="shared" si="4"/>
        <v>C PL C2 Brickwork</v>
      </c>
      <c r="O32" s="41" t="str">
        <f t="shared" si="5"/>
        <v>C PL C2-6 Popular Blockset</v>
      </c>
    </row>
    <row r="33" spans="1:15" x14ac:dyDescent="0.2">
      <c r="A33" s="15" t="s">
        <v>374</v>
      </c>
      <c r="B33" s="15" t="s">
        <v>374</v>
      </c>
      <c r="C33" s="31" t="s">
        <v>340</v>
      </c>
      <c r="D33" s="31" t="s">
        <v>291</v>
      </c>
      <c r="E33" s="31">
        <v>3</v>
      </c>
      <c r="F33" s="31" t="s">
        <v>119</v>
      </c>
      <c r="G33" s="31">
        <v>1</v>
      </c>
      <c r="H33" s="31" t="s">
        <v>118</v>
      </c>
      <c r="I33" s="21" t="s">
        <v>117</v>
      </c>
      <c r="J33" s="37" t="str">
        <f t="shared" si="0"/>
        <v>C CF C Construction Cost</v>
      </c>
      <c r="K33" s="38" t="str">
        <f t="shared" si="6"/>
        <v>C CF C3 Internal Plaster</v>
      </c>
      <c r="L33" s="39" t="str">
        <f t="shared" si="7"/>
        <v>C CF C3-1 Plaster Material</v>
      </c>
      <c r="M33" s="33" t="str">
        <f t="shared" si="3"/>
        <v>C PL C Construction Cost</v>
      </c>
      <c r="N33" s="34" t="str">
        <f t="shared" si="4"/>
        <v>C PL C3 Internal Plaster</v>
      </c>
      <c r="O33" s="41" t="str">
        <f t="shared" si="5"/>
        <v>C PL C3-1 Plaster Material</v>
      </c>
    </row>
    <row r="34" spans="1:15" x14ac:dyDescent="0.2">
      <c r="A34" s="15" t="s">
        <v>374</v>
      </c>
      <c r="B34" s="15" t="s">
        <v>374</v>
      </c>
      <c r="C34" s="31" t="s">
        <v>340</v>
      </c>
      <c r="D34" s="31" t="s">
        <v>291</v>
      </c>
      <c r="E34" s="31">
        <v>3</v>
      </c>
      <c r="F34" s="31" t="s">
        <v>119</v>
      </c>
      <c r="G34" s="31">
        <v>2</v>
      </c>
      <c r="H34" s="31" t="s">
        <v>116</v>
      </c>
      <c r="I34" s="21" t="s">
        <v>115</v>
      </c>
      <c r="J34" s="37" t="str">
        <f t="shared" si="0"/>
        <v>C CF C Construction Cost</v>
      </c>
      <c r="K34" s="38" t="str">
        <f t="shared" si="6"/>
        <v>C CF C3 Internal Plaster</v>
      </c>
      <c r="L34" s="39" t="str">
        <f t="shared" si="7"/>
        <v>C CF C3-2 Plaster Labour</v>
      </c>
      <c r="M34" s="33" t="str">
        <f t="shared" si="3"/>
        <v>C PL C Construction Cost</v>
      </c>
      <c r="N34" s="34" t="str">
        <f t="shared" si="4"/>
        <v>C PL C3 Internal Plaster</v>
      </c>
      <c r="O34" s="41" t="str">
        <f t="shared" si="5"/>
        <v>C PL C3-2 Plaster Labour</v>
      </c>
    </row>
    <row r="35" spans="1:15" x14ac:dyDescent="0.2">
      <c r="A35" s="15" t="s">
        <v>374</v>
      </c>
      <c r="B35" s="15" t="s">
        <v>374</v>
      </c>
      <c r="C35" s="31" t="s">
        <v>340</v>
      </c>
      <c r="D35" s="31" t="s">
        <v>291</v>
      </c>
      <c r="E35" s="31">
        <v>3</v>
      </c>
      <c r="F35" s="31" t="s">
        <v>119</v>
      </c>
      <c r="G35" s="31">
        <v>3</v>
      </c>
      <c r="H35" s="31" t="s">
        <v>281</v>
      </c>
      <c r="J35" s="37" t="str">
        <f t="shared" si="0"/>
        <v>C CF C Construction Cost</v>
      </c>
      <c r="K35" s="38" t="str">
        <f t="shared" si="6"/>
        <v>C CF C3 Internal Plaster</v>
      </c>
      <c r="L35" s="39" t="str">
        <f t="shared" si="7"/>
        <v>C CF C3-3 Gypsum Material</v>
      </c>
      <c r="M35" s="33" t="str">
        <f t="shared" si="3"/>
        <v>C PL C Construction Cost</v>
      </c>
      <c r="N35" s="34" t="str">
        <f t="shared" si="4"/>
        <v>C PL C3 Internal Plaster</v>
      </c>
      <c r="O35" s="41" t="str">
        <f t="shared" si="5"/>
        <v>C PL C3-3 Gypsum Material</v>
      </c>
    </row>
    <row r="36" spans="1:15" x14ac:dyDescent="0.2">
      <c r="A36" s="15" t="s">
        <v>374</v>
      </c>
      <c r="B36" s="15" t="s">
        <v>374</v>
      </c>
      <c r="C36" s="31" t="s">
        <v>340</v>
      </c>
      <c r="D36" s="31" t="s">
        <v>291</v>
      </c>
      <c r="E36" s="31">
        <v>3</v>
      </c>
      <c r="F36" s="31" t="s">
        <v>119</v>
      </c>
      <c r="G36" s="31">
        <v>4</v>
      </c>
      <c r="H36" s="31" t="s">
        <v>280</v>
      </c>
      <c r="J36" s="37" t="str">
        <f t="shared" si="0"/>
        <v>C CF C Construction Cost</v>
      </c>
      <c r="K36" s="38" t="str">
        <f t="shared" si="6"/>
        <v>C CF C3 Internal Plaster</v>
      </c>
      <c r="L36" s="39" t="str">
        <f t="shared" si="7"/>
        <v>C CF C3-4 Gypsum Work</v>
      </c>
      <c r="M36" s="33" t="str">
        <f t="shared" si="3"/>
        <v>C PL C Construction Cost</v>
      </c>
      <c r="N36" s="34" t="str">
        <f t="shared" si="4"/>
        <v>C PL C3 Internal Plaster</v>
      </c>
      <c r="O36" s="41" t="str">
        <f t="shared" si="5"/>
        <v>C PL C3-4 Gypsum Work</v>
      </c>
    </row>
    <row r="37" spans="1:15" x14ac:dyDescent="0.2">
      <c r="A37" s="15" t="s">
        <v>374</v>
      </c>
      <c r="B37" s="15" t="s">
        <v>374</v>
      </c>
      <c r="C37" s="31" t="s">
        <v>340</v>
      </c>
      <c r="D37" s="31" t="s">
        <v>291</v>
      </c>
      <c r="E37" s="31">
        <v>4</v>
      </c>
      <c r="F37" s="31" t="s">
        <v>114</v>
      </c>
      <c r="G37" s="31">
        <v>1</v>
      </c>
      <c r="H37" s="31" t="s">
        <v>113</v>
      </c>
      <c r="I37" s="21" t="s">
        <v>112</v>
      </c>
      <c r="J37" s="37" t="str">
        <f t="shared" si="0"/>
        <v>C CF C Construction Cost</v>
      </c>
      <c r="K37" s="38" t="str">
        <f t="shared" si="6"/>
        <v>C CF C4 External Plaster</v>
      </c>
      <c r="L37" s="39" t="str">
        <f t="shared" si="7"/>
        <v>C CF C4-1 External Plaster Material</v>
      </c>
      <c r="M37" s="33" t="str">
        <f t="shared" si="3"/>
        <v>C PL C Construction Cost</v>
      </c>
      <c r="N37" s="34" t="str">
        <f t="shared" si="4"/>
        <v>C PL C4 External Plaster</v>
      </c>
      <c r="O37" s="41" t="str">
        <f t="shared" si="5"/>
        <v>C PL C4-1 External Plaster Material</v>
      </c>
    </row>
    <row r="38" spans="1:15" x14ac:dyDescent="0.2">
      <c r="A38" s="15" t="s">
        <v>374</v>
      </c>
      <c r="B38" s="15" t="s">
        <v>374</v>
      </c>
      <c r="C38" s="31" t="s">
        <v>340</v>
      </c>
      <c r="D38" s="31" t="s">
        <v>291</v>
      </c>
      <c r="E38" s="31">
        <v>4</v>
      </c>
      <c r="F38" s="31" t="s">
        <v>114</v>
      </c>
      <c r="G38" s="31">
        <v>2</v>
      </c>
      <c r="H38" s="31" t="s">
        <v>111</v>
      </c>
      <c r="I38" s="21" t="s">
        <v>110</v>
      </c>
      <c r="J38" s="37" t="str">
        <f t="shared" si="0"/>
        <v>C CF C Construction Cost</v>
      </c>
      <c r="K38" s="38" t="str">
        <f t="shared" si="6"/>
        <v>C CF C4 External Plaster</v>
      </c>
      <c r="L38" s="39" t="str">
        <f t="shared" si="7"/>
        <v>C CF C4-2 External Plaster Labour</v>
      </c>
      <c r="M38" s="33" t="str">
        <f t="shared" si="3"/>
        <v>C PL C Construction Cost</v>
      </c>
      <c r="N38" s="34" t="str">
        <f t="shared" si="4"/>
        <v>C PL C4 External Plaster</v>
      </c>
      <c r="O38" s="41" t="str">
        <f t="shared" si="5"/>
        <v>C PL C4-2 External Plaster Labour</v>
      </c>
    </row>
    <row r="39" spans="1:15" x14ac:dyDescent="0.2">
      <c r="A39" s="15" t="s">
        <v>374</v>
      </c>
      <c r="B39" s="15" t="s">
        <v>374</v>
      </c>
      <c r="C39" s="31" t="s">
        <v>340</v>
      </c>
      <c r="D39" s="31" t="s">
        <v>291</v>
      </c>
      <c r="E39" s="31">
        <v>5</v>
      </c>
      <c r="F39" s="31" t="s">
        <v>109</v>
      </c>
      <c r="G39" s="31">
        <v>1</v>
      </c>
      <c r="H39" s="31" t="s">
        <v>108</v>
      </c>
      <c r="I39" s="21" t="s">
        <v>107</v>
      </c>
      <c r="J39" s="37" t="str">
        <f t="shared" si="0"/>
        <v>C CF C Construction Cost</v>
      </c>
      <c r="K39" s="38" t="str">
        <f t="shared" si="6"/>
        <v>C CF C5 Flooring</v>
      </c>
      <c r="L39" s="39" t="str">
        <f t="shared" si="7"/>
        <v>C CF C5-1 Tiles</v>
      </c>
      <c r="M39" s="33" t="str">
        <f t="shared" si="3"/>
        <v>C PL C Construction Cost</v>
      </c>
      <c r="N39" s="34" t="str">
        <f t="shared" si="4"/>
        <v>C PL C5 Flooring</v>
      </c>
      <c r="O39" s="41" t="str">
        <f t="shared" si="5"/>
        <v>C PL C5-1 Tiles</v>
      </c>
    </row>
    <row r="40" spans="1:15" x14ac:dyDescent="0.2">
      <c r="A40" s="15" t="s">
        <v>374</v>
      </c>
      <c r="B40" s="15" t="s">
        <v>374</v>
      </c>
      <c r="C40" s="31" t="s">
        <v>340</v>
      </c>
      <c r="D40" s="31" t="s">
        <v>291</v>
      </c>
      <c r="E40" s="31">
        <v>5</v>
      </c>
      <c r="F40" s="31" t="s">
        <v>109</v>
      </c>
      <c r="G40" s="31">
        <v>6</v>
      </c>
      <c r="H40" s="31" t="s">
        <v>427</v>
      </c>
      <c r="J40" s="37" t="str">
        <f t="shared" si="0"/>
        <v>C CF C Construction Cost</v>
      </c>
      <c r="K40" s="38" t="str">
        <f t="shared" si="6"/>
        <v>C CF C5 Flooring</v>
      </c>
      <c r="L40" s="39" t="str">
        <f t="shared" si="7"/>
        <v>C CF C5-6 Tiles Labour</v>
      </c>
      <c r="M40" s="33" t="str">
        <f t="shared" si="3"/>
        <v>C PL C Construction Cost</v>
      </c>
      <c r="N40" s="34" t="str">
        <f t="shared" ref="N40" si="11">IF(M40=0,0,IF(ISBLANK($F40)=FALSE,CONCATENATE(,$C$2," ",$M$2," ",$C40,$E40," ",$F40),0))</f>
        <v>C PL C5 Flooring</v>
      </c>
      <c r="O40" s="41" t="str">
        <f t="shared" ref="O40" si="12">IF(N40=0,0,IF(ISBLANK($F40)=FALSE,CONCATENATE(,$C$2," ",$M$2," ",$C40,$E40,,"-",$G40,," ",$H40),0))</f>
        <v>C PL C5-6 Tiles Labour</v>
      </c>
    </row>
    <row r="41" spans="1:15" x14ac:dyDescent="0.2">
      <c r="A41" s="15" t="s">
        <v>374</v>
      </c>
      <c r="B41" s="15" t="s">
        <v>374</v>
      </c>
      <c r="C41" s="31" t="s">
        <v>340</v>
      </c>
      <c r="D41" s="31" t="s">
        <v>291</v>
      </c>
      <c r="E41" s="31">
        <v>5</v>
      </c>
      <c r="F41" s="31" t="s">
        <v>109</v>
      </c>
      <c r="G41" s="31">
        <v>2</v>
      </c>
      <c r="H41" s="31" t="s">
        <v>279</v>
      </c>
      <c r="I41" s="21" t="s">
        <v>105</v>
      </c>
      <c r="J41" s="37" t="str">
        <f t="shared" si="0"/>
        <v>C CF C Construction Cost</v>
      </c>
      <c r="K41" s="38" t="str">
        <f t="shared" si="6"/>
        <v>C CF C5 Flooring</v>
      </c>
      <c r="L41" s="39" t="str">
        <f t="shared" si="7"/>
        <v>C CF C5-2 Marble</v>
      </c>
      <c r="M41" s="33" t="str">
        <f t="shared" si="3"/>
        <v>C PL C Construction Cost</v>
      </c>
      <c r="N41" s="34" t="str">
        <f t="shared" si="4"/>
        <v>C PL C5 Flooring</v>
      </c>
      <c r="O41" s="41" t="str">
        <f t="shared" si="5"/>
        <v>C PL C5-2 Marble</v>
      </c>
    </row>
    <row r="42" spans="1:15" x14ac:dyDescent="0.2">
      <c r="A42" s="15" t="s">
        <v>374</v>
      </c>
      <c r="B42" s="15" t="s">
        <v>374</v>
      </c>
      <c r="C42" s="31" t="s">
        <v>340</v>
      </c>
      <c r="D42" s="31" t="s">
        <v>291</v>
      </c>
      <c r="E42" s="31">
        <v>5</v>
      </c>
      <c r="F42" s="31" t="s">
        <v>109</v>
      </c>
      <c r="G42" s="31">
        <v>3</v>
      </c>
      <c r="H42" s="31" t="s">
        <v>278</v>
      </c>
      <c r="J42" s="37" t="str">
        <f t="shared" si="0"/>
        <v>C CF C Construction Cost</v>
      </c>
      <c r="K42" s="38" t="str">
        <f t="shared" si="6"/>
        <v>C CF C5 Flooring</v>
      </c>
      <c r="L42" s="39" t="str">
        <f t="shared" si="7"/>
        <v>C CF C5-3 Granite</v>
      </c>
      <c r="M42" s="33" t="str">
        <f t="shared" si="3"/>
        <v>C PL C Construction Cost</v>
      </c>
      <c r="N42" s="34" t="str">
        <f t="shared" si="4"/>
        <v>C PL C5 Flooring</v>
      </c>
      <c r="O42" s="41" t="str">
        <f t="shared" si="5"/>
        <v>C PL C5-3 Granite</v>
      </c>
    </row>
    <row r="43" spans="1:15" x14ac:dyDescent="0.2">
      <c r="A43" s="15" t="s">
        <v>374</v>
      </c>
      <c r="B43" s="15" t="s">
        <v>374</v>
      </c>
      <c r="C43" s="31" t="s">
        <v>340</v>
      </c>
      <c r="D43" s="31" t="s">
        <v>291</v>
      </c>
      <c r="E43" s="31">
        <v>5</v>
      </c>
      <c r="F43" s="31" t="s">
        <v>109</v>
      </c>
      <c r="G43" s="31">
        <v>4</v>
      </c>
      <c r="H43" s="31" t="s">
        <v>104</v>
      </c>
      <c r="I43" s="21" t="s">
        <v>103</v>
      </c>
      <c r="J43" s="37" t="str">
        <f t="shared" si="0"/>
        <v>C CF C Construction Cost</v>
      </c>
      <c r="K43" s="38" t="str">
        <f t="shared" si="6"/>
        <v>C CF C5 Flooring</v>
      </c>
      <c r="L43" s="39" t="str">
        <f t="shared" si="7"/>
        <v>C CF C5-4 Flooring Labour</v>
      </c>
      <c r="M43" s="33" t="str">
        <f t="shared" si="3"/>
        <v>C PL C Construction Cost</v>
      </c>
      <c r="N43" s="34" t="str">
        <f t="shared" si="4"/>
        <v>C PL C5 Flooring</v>
      </c>
      <c r="O43" s="41" t="str">
        <f t="shared" si="5"/>
        <v>C PL C5-4 Flooring Labour</v>
      </c>
    </row>
    <row r="44" spans="1:15" x14ac:dyDescent="0.2">
      <c r="A44" s="15" t="s">
        <v>374</v>
      </c>
      <c r="B44" s="15" t="s">
        <v>374</v>
      </c>
      <c r="C44" s="31" t="s">
        <v>340</v>
      </c>
      <c r="D44" s="31" t="s">
        <v>291</v>
      </c>
      <c r="E44" s="31">
        <v>5</v>
      </c>
      <c r="F44" s="31" t="s">
        <v>109</v>
      </c>
      <c r="G44" s="31">
        <v>5</v>
      </c>
      <c r="H44" s="31" t="s">
        <v>277</v>
      </c>
      <c r="J44" s="37" t="str">
        <f t="shared" si="0"/>
        <v>C CF C Construction Cost</v>
      </c>
      <c r="K44" s="38" t="str">
        <f t="shared" si="6"/>
        <v>C CF C5 Flooring</v>
      </c>
      <c r="L44" s="39" t="str">
        <f t="shared" si="7"/>
        <v>C CF C5-5 Grout Work</v>
      </c>
      <c r="M44" s="33" t="str">
        <f t="shared" si="3"/>
        <v>C PL C Construction Cost</v>
      </c>
      <c r="N44" s="34" t="str">
        <f t="shared" si="4"/>
        <v>C PL C5 Flooring</v>
      </c>
      <c r="O44" s="41" t="str">
        <f t="shared" si="5"/>
        <v>C PL C5-5 Grout Work</v>
      </c>
    </row>
    <row r="45" spans="1:15" x14ac:dyDescent="0.2">
      <c r="A45" s="15" t="s">
        <v>374</v>
      </c>
      <c r="B45" s="15" t="s">
        <v>374</v>
      </c>
      <c r="C45" s="31" t="s">
        <v>340</v>
      </c>
      <c r="D45" s="31" t="s">
        <v>291</v>
      </c>
      <c r="E45" s="31">
        <v>6</v>
      </c>
      <c r="F45" s="31" t="s">
        <v>101</v>
      </c>
      <c r="G45" s="31">
        <v>1</v>
      </c>
      <c r="H45" s="31" t="s">
        <v>100</v>
      </c>
      <c r="I45" s="21" t="s">
        <v>99</v>
      </c>
      <c r="J45" s="37" t="str">
        <f t="shared" si="0"/>
        <v>C CF C Construction Cost</v>
      </c>
      <c r="K45" s="38" t="str">
        <f t="shared" si="6"/>
        <v>C CF C6 Doors &amp; Windows</v>
      </c>
      <c r="L45" s="39" t="str">
        <f t="shared" si="7"/>
        <v>C CF C6-1 Door Frames</v>
      </c>
      <c r="M45" s="33" t="str">
        <f t="shared" si="3"/>
        <v>C PL C Construction Cost</v>
      </c>
      <c r="N45" s="34" t="str">
        <f t="shared" si="4"/>
        <v>C PL C6 Doors &amp; Windows</v>
      </c>
      <c r="O45" s="41" t="str">
        <f t="shared" si="5"/>
        <v>C PL C6-1 Door Frames</v>
      </c>
    </row>
    <row r="46" spans="1:15" x14ac:dyDescent="0.2">
      <c r="A46" s="15" t="s">
        <v>374</v>
      </c>
      <c r="B46" s="15" t="s">
        <v>374</v>
      </c>
      <c r="C46" s="31" t="s">
        <v>340</v>
      </c>
      <c r="D46" s="31" t="s">
        <v>291</v>
      </c>
      <c r="E46" s="31">
        <v>6</v>
      </c>
      <c r="F46" s="31" t="s">
        <v>101</v>
      </c>
      <c r="G46" s="31">
        <f>+G45+1</f>
        <v>2</v>
      </c>
      <c r="H46" s="31" t="s">
        <v>98</v>
      </c>
      <c r="I46" s="21" t="s">
        <v>97</v>
      </c>
      <c r="J46" s="37" t="str">
        <f t="shared" si="0"/>
        <v>C CF C Construction Cost</v>
      </c>
      <c r="K46" s="38" t="str">
        <f t="shared" si="6"/>
        <v>C CF C6 Doors &amp; Windows</v>
      </c>
      <c r="L46" s="39" t="str">
        <f t="shared" si="7"/>
        <v>C CF C6-2 Door Shutters</v>
      </c>
      <c r="M46" s="33" t="str">
        <f t="shared" si="3"/>
        <v>C PL C Construction Cost</v>
      </c>
      <c r="N46" s="34" t="str">
        <f t="shared" si="4"/>
        <v>C PL C6 Doors &amp; Windows</v>
      </c>
      <c r="O46" s="41" t="str">
        <f t="shared" si="5"/>
        <v>C PL C6-2 Door Shutters</v>
      </c>
    </row>
    <row r="47" spans="1:15" x14ac:dyDescent="0.2">
      <c r="A47" s="15" t="s">
        <v>374</v>
      </c>
      <c r="B47" s="15" t="s">
        <v>374</v>
      </c>
      <c r="C47" s="31" t="s">
        <v>340</v>
      </c>
      <c r="D47" s="31" t="s">
        <v>291</v>
      </c>
      <c r="E47" s="31">
        <v>6</v>
      </c>
      <c r="F47" s="31" t="s">
        <v>101</v>
      </c>
      <c r="G47" s="31">
        <f t="shared" ref="G47:G54" si="13">+G46+1</f>
        <v>3</v>
      </c>
      <c r="H47" s="31" t="s">
        <v>96</v>
      </c>
      <c r="I47" s="21" t="s">
        <v>95</v>
      </c>
      <c r="J47" s="37" t="str">
        <f t="shared" si="0"/>
        <v>C CF C Construction Cost</v>
      </c>
      <c r="K47" s="38" t="str">
        <f t="shared" si="6"/>
        <v>C CF C6 Doors &amp; Windows</v>
      </c>
      <c r="L47" s="39" t="str">
        <f t="shared" si="7"/>
        <v>C CF C6-3 Window Frames</v>
      </c>
      <c r="M47" s="33" t="str">
        <f t="shared" si="3"/>
        <v>C PL C Construction Cost</v>
      </c>
      <c r="N47" s="34" t="str">
        <f t="shared" si="4"/>
        <v>C PL C6 Doors &amp; Windows</v>
      </c>
      <c r="O47" s="41" t="str">
        <f t="shared" si="5"/>
        <v>C PL C6-3 Window Frames</v>
      </c>
    </row>
    <row r="48" spans="1:15" x14ac:dyDescent="0.2">
      <c r="A48" s="15" t="s">
        <v>374</v>
      </c>
      <c r="B48" s="15" t="s">
        <v>374</v>
      </c>
      <c r="C48" s="31" t="s">
        <v>340</v>
      </c>
      <c r="D48" s="31" t="s">
        <v>291</v>
      </c>
      <c r="E48" s="31">
        <v>6</v>
      </c>
      <c r="F48" s="31" t="s">
        <v>101</v>
      </c>
      <c r="G48" s="31">
        <f t="shared" si="13"/>
        <v>4</v>
      </c>
      <c r="H48" s="31" t="s">
        <v>276</v>
      </c>
      <c r="I48" s="21" t="s">
        <v>92</v>
      </c>
      <c r="J48" s="37" t="str">
        <f t="shared" si="0"/>
        <v>C CF C Construction Cost</v>
      </c>
      <c r="K48" s="38" t="str">
        <f t="shared" si="6"/>
        <v>C CF C6 Doors &amp; Windows</v>
      </c>
      <c r="L48" s="39" t="str">
        <f t="shared" si="7"/>
        <v>C CF C6-4 Glass work</v>
      </c>
      <c r="M48" s="33" t="str">
        <f t="shared" si="3"/>
        <v>C PL C Construction Cost</v>
      </c>
      <c r="N48" s="34" t="str">
        <f t="shared" si="4"/>
        <v>C PL C6 Doors &amp; Windows</v>
      </c>
      <c r="O48" s="41" t="str">
        <f t="shared" si="5"/>
        <v>C PL C6-4 Glass work</v>
      </c>
    </row>
    <row r="49" spans="1:15" x14ac:dyDescent="0.2">
      <c r="A49" s="15" t="s">
        <v>374</v>
      </c>
      <c r="B49" s="15" t="s">
        <v>374</v>
      </c>
      <c r="C49" s="31" t="s">
        <v>340</v>
      </c>
      <c r="D49" s="31" t="s">
        <v>291</v>
      </c>
      <c r="E49" s="31">
        <v>6</v>
      </c>
      <c r="F49" s="31" t="s">
        <v>101</v>
      </c>
      <c r="G49" s="31">
        <f t="shared" si="13"/>
        <v>5</v>
      </c>
      <c r="H49" s="31" t="s">
        <v>275</v>
      </c>
      <c r="I49" s="21" t="s">
        <v>275</v>
      </c>
      <c r="J49" s="37" t="str">
        <f t="shared" si="0"/>
        <v>C CF C Construction Cost</v>
      </c>
      <c r="K49" s="38" t="str">
        <f t="shared" si="6"/>
        <v>C CF C6 Doors &amp; Windows</v>
      </c>
      <c r="L49" s="39" t="str">
        <f t="shared" si="7"/>
        <v>C CF C6-5 Coated Sheet</v>
      </c>
      <c r="M49" s="33" t="str">
        <f t="shared" si="3"/>
        <v>C PL C Construction Cost</v>
      </c>
      <c r="N49" s="34" t="str">
        <f t="shared" si="4"/>
        <v>C PL C6 Doors &amp; Windows</v>
      </c>
      <c r="O49" s="41" t="str">
        <f t="shared" si="5"/>
        <v>C PL C6-5 Coated Sheet</v>
      </c>
    </row>
    <row r="50" spans="1:15" x14ac:dyDescent="0.2">
      <c r="A50" s="15" t="s">
        <v>374</v>
      </c>
      <c r="B50" s="15" t="s">
        <v>374</v>
      </c>
      <c r="C50" s="31" t="s">
        <v>340</v>
      </c>
      <c r="D50" s="31" t="s">
        <v>291</v>
      </c>
      <c r="E50" s="31">
        <v>6</v>
      </c>
      <c r="F50" s="31" t="s">
        <v>101</v>
      </c>
      <c r="G50" s="31">
        <f t="shared" si="13"/>
        <v>6</v>
      </c>
      <c r="H50" s="31" t="s">
        <v>93</v>
      </c>
      <c r="J50" s="37" t="str">
        <f t="shared" si="0"/>
        <v>C CF C Construction Cost</v>
      </c>
      <c r="K50" s="38" t="str">
        <f t="shared" si="6"/>
        <v>C CF C6 Doors &amp; Windows</v>
      </c>
      <c r="L50" s="39" t="str">
        <f t="shared" si="7"/>
        <v>C CF C6-6 Carpenter Work---Labour</v>
      </c>
      <c r="M50" s="33" t="str">
        <f t="shared" si="3"/>
        <v>C PL C Construction Cost</v>
      </c>
      <c r="N50" s="34" t="str">
        <f t="shared" si="4"/>
        <v>C PL C6 Doors &amp; Windows</v>
      </c>
      <c r="O50" s="41" t="str">
        <f t="shared" si="5"/>
        <v>C PL C6-6 Carpenter Work---Labour</v>
      </c>
    </row>
    <row r="51" spans="1:15" x14ac:dyDescent="0.2">
      <c r="A51" s="15" t="s">
        <v>374</v>
      </c>
      <c r="B51" s="15" t="s">
        <v>374</v>
      </c>
      <c r="C51" s="31" t="s">
        <v>340</v>
      </c>
      <c r="D51" s="31" t="s">
        <v>291</v>
      </c>
      <c r="E51" s="31">
        <v>6</v>
      </c>
      <c r="F51" s="31" t="s">
        <v>101</v>
      </c>
      <c r="G51" s="31">
        <f t="shared" si="13"/>
        <v>7</v>
      </c>
      <c r="H51" s="31" t="s">
        <v>274</v>
      </c>
      <c r="J51" s="37" t="str">
        <f t="shared" si="0"/>
        <v>C CF C Construction Cost</v>
      </c>
      <c r="K51" s="38" t="str">
        <f t="shared" si="6"/>
        <v>C CF C6 Doors &amp; Windows</v>
      </c>
      <c r="L51" s="39" t="str">
        <f t="shared" si="7"/>
        <v>C CF C6-7 Carpentry Material</v>
      </c>
      <c r="M51" s="33" t="str">
        <f t="shared" si="3"/>
        <v>C PL C Construction Cost</v>
      </c>
      <c r="N51" s="34" t="str">
        <f t="shared" si="4"/>
        <v>C PL C6 Doors &amp; Windows</v>
      </c>
      <c r="O51" s="41" t="str">
        <f t="shared" si="5"/>
        <v>C PL C6-7 Carpentry Material</v>
      </c>
    </row>
    <row r="52" spans="1:15" x14ac:dyDescent="0.2">
      <c r="A52" s="15" t="s">
        <v>374</v>
      </c>
      <c r="B52" s="15" t="s">
        <v>374</v>
      </c>
      <c r="C52" s="31" t="s">
        <v>340</v>
      </c>
      <c r="D52" s="31" t="s">
        <v>291</v>
      </c>
      <c r="E52" s="31">
        <v>6</v>
      </c>
      <c r="F52" s="31" t="s">
        <v>101</v>
      </c>
      <c r="G52" s="31">
        <f t="shared" si="13"/>
        <v>8</v>
      </c>
      <c r="H52" s="31" t="s">
        <v>273</v>
      </c>
      <c r="J52" s="37" t="str">
        <f t="shared" si="0"/>
        <v>C CF C Construction Cost</v>
      </c>
      <c r="K52" s="38" t="str">
        <f t="shared" si="6"/>
        <v>C CF C6 Doors &amp; Windows</v>
      </c>
      <c r="L52" s="39" t="str">
        <f t="shared" si="7"/>
        <v>C CF C6-8 Louvers Material</v>
      </c>
      <c r="M52" s="33" t="str">
        <f t="shared" si="3"/>
        <v>C PL C Construction Cost</v>
      </c>
      <c r="N52" s="34" t="str">
        <f t="shared" si="4"/>
        <v>C PL C6 Doors &amp; Windows</v>
      </c>
      <c r="O52" s="41" t="str">
        <f t="shared" si="5"/>
        <v>C PL C6-8 Louvers Material</v>
      </c>
    </row>
    <row r="53" spans="1:15" x14ac:dyDescent="0.2">
      <c r="A53" s="15" t="s">
        <v>374</v>
      </c>
      <c r="B53" s="15" t="s">
        <v>374</v>
      </c>
      <c r="C53" s="31" t="s">
        <v>340</v>
      </c>
      <c r="D53" s="31" t="s">
        <v>291</v>
      </c>
      <c r="E53" s="31">
        <v>6</v>
      </c>
      <c r="F53" s="31" t="s">
        <v>101</v>
      </c>
      <c r="G53" s="31">
        <f>+G52+1</f>
        <v>9</v>
      </c>
      <c r="H53" s="31" t="s">
        <v>272</v>
      </c>
      <c r="J53" s="37" t="str">
        <f t="shared" si="0"/>
        <v>C CF C Construction Cost</v>
      </c>
      <c r="K53" s="38" t="str">
        <f t="shared" si="6"/>
        <v>C CF C6 Doors &amp; Windows</v>
      </c>
      <c r="L53" s="39" t="str">
        <f t="shared" si="7"/>
        <v>C CF C6-9 Door Installation Work</v>
      </c>
      <c r="M53" s="33" t="str">
        <f t="shared" si="3"/>
        <v>C PL C Construction Cost</v>
      </c>
      <c r="N53" s="34" t="str">
        <f t="shared" si="4"/>
        <v>C PL C6 Doors &amp; Windows</v>
      </c>
      <c r="O53" s="41" t="str">
        <f t="shared" si="5"/>
        <v>C PL C6-9 Door Installation Work</v>
      </c>
    </row>
    <row r="54" spans="1:15" x14ac:dyDescent="0.2">
      <c r="A54" s="15" t="s">
        <v>374</v>
      </c>
      <c r="B54" s="15" t="s">
        <v>374</v>
      </c>
      <c r="C54" s="31" t="s">
        <v>340</v>
      </c>
      <c r="D54" s="31" t="s">
        <v>291</v>
      </c>
      <c r="E54" s="31">
        <v>6</v>
      </c>
      <c r="F54" s="31" t="s">
        <v>101</v>
      </c>
      <c r="G54" s="31">
        <f t="shared" si="13"/>
        <v>10</v>
      </c>
      <c r="H54" s="31" t="s">
        <v>150</v>
      </c>
      <c r="J54" s="37" t="str">
        <f t="shared" si="0"/>
        <v>C CF C Construction Cost</v>
      </c>
      <c r="K54" s="38" t="str">
        <f t="shared" si="6"/>
        <v>C CF C6 Doors &amp; Windows</v>
      </c>
      <c r="L54" s="39" t="str">
        <f t="shared" si="7"/>
        <v>C CF C6-10 Fabrication Work</v>
      </c>
      <c r="M54" s="33" t="str">
        <f t="shared" si="3"/>
        <v>C PL C Construction Cost</v>
      </c>
      <c r="N54" s="34" t="str">
        <f t="shared" si="4"/>
        <v>C PL C6 Doors &amp; Windows</v>
      </c>
      <c r="O54" s="41" t="str">
        <f t="shared" si="5"/>
        <v>C PL C6-10 Fabrication Work</v>
      </c>
    </row>
    <row r="55" spans="1:15" x14ac:dyDescent="0.2">
      <c r="A55" s="15" t="s">
        <v>374</v>
      </c>
      <c r="B55" s="15" t="s">
        <v>374</v>
      </c>
      <c r="C55" s="31" t="s">
        <v>340</v>
      </c>
      <c r="D55" s="31" t="s">
        <v>291</v>
      </c>
      <c r="E55" s="31">
        <v>6</v>
      </c>
      <c r="F55" s="31" t="s">
        <v>101</v>
      </c>
      <c r="G55" s="31">
        <v>11</v>
      </c>
      <c r="H55" s="31" t="s">
        <v>404</v>
      </c>
      <c r="J55" s="37" t="str">
        <f t="shared" si="0"/>
        <v>C CF C Construction Cost</v>
      </c>
      <c r="K55" s="38" t="str">
        <f t="shared" si="6"/>
        <v>C CF C6 Doors &amp; Windows</v>
      </c>
      <c r="L55" s="39" t="str">
        <f t="shared" si="7"/>
        <v>C CF C6-11 Louvers Labour</v>
      </c>
      <c r="M55" s="33" t="str">
        <f t="shared" si="3"/>
        <v>C PL C Construction Cost</v>
      </c>
      <c r="N55" s="34" t="str">
        <f t="shared" si="4"/>
        <v>C PL C6 Doors &amp; Windows</v>
      </c>
      <c r="O55" s="41" t="str">
        <f t="shared" si="5"/>
        <v>C PL C6-11 Louvers Labour</v>
      </c>
    </row>
    <row r="56" spans="1:15" x14ac:dyDescent="0.2">
      <c r="A56" s="15" t="s">
        <v>374</v>
      </c>
      <c r="B56" s="15" t="s">
        <v>374</v>
      </c>
      <c r="C56" s="31" t="s">
        <v>340</v>
      </c>
      <c r="D56" s="31" t="s">
        <v>291</v>
      </c>
      <c r="E56" s="31">
        <v>7</v>
      </c>
      <c r="F56" s="31" t="s">
        <v>91</v>
      </c>
      <c r="G56" s="31">
        <v>1</v>
      </c>
      <c r="H56" s="31" t="s">
        <v>90</v>
      </c>
      <c r="I56" s="21" t="s">
        <v>380</v>
      </c>
      <c r="J56" s="37" t="str">
        <f t="shared" si="0"/>
        <v>C CF C Construction Cost</v>
      </c>
      <c r="K56" s="38" t="str">
        <f t="shared" si="6"/>
        <v>C CF C7 Electrical</v>
      </c>
      <c r="L56" s="39" t="str">
        <f t="shared" si="7"/>
        <v>C CF C7-1 Wires</v>
      </c>
      <c r="M56" s="33" t="str">
        <f t="shared" si="3"/>
        <v>C PL C Construction Cost</v>
      </c>
      <c r="N56" s="34" t="str">
        <f t="shared" si="4"/>
        <v>C PL C7 Electrical</v>
      </c>
      <c r="O56" s="41" t="str">
        <f t="shared" si="5"/>
        <v>C PL C7-1 Wires</v>
      </c>
    </row>
    <row r="57" spans="1:15" x14ac:dyDescent="0.2">
      <c r="A57" s="15" t="s">
        <v>374</v>
      </c>
      <c r="B57" s="15" t="s">
        <v>374</v>
      </c>
      <c r="C57" s="31" t="s">
        <v>340</v>
      </c>
      <c r="D57" s="31" t="s">
        <v>291</v>
      </c>
      <c r="E57" s="31">
        <v>7</v>
      </c>
      <c r="F57" s="31" t="s">
        <v>91</v>
      </c>
      <c r="G57" s="31">
        <f>+G56+1</f>
        <v>2</v>
      </c>
      <c r="H57" s="31" t="s">
        <v>88</v>
      </c>
      <c r="I57" s="21" t="s">
        <v>87</v>
      </c>
      <c r="J57" s="37" t="str">
        <f t="shared" si="0"/>
        <v>C CF C Construction Cost</v>
      </c>
      <c r="K57" s="38" t="str">
        <f t="shared" si="6"/>
        <v>C CF C7 Electrical</v>
      </c>
      <c r="L57" s="39" t="str">
        <f t="shared" si="7"/>
        <v>C CF C7-2 Switches</v>
      </c>
      <c r="M57" s="33" t="str">
        <f t="shared" si="3"/>
        <v>C PL C Construction Cost</v>
      </c>
      <c r="N57" s="34" t="str">
        <f t="shared" si="4"/>
        <v>C PL C7 Electrical</v>
      </c>
      <c r="O57" s="41" t="str">
        <f t="shared" si="5"/>
        <v>C PL C7-2 Switches</v>
      </c>
    </row>
    <row r="58" spans="1:15" x14ac:dyDescent="0.2">
      <c r="A58" s="15" t="s">
        <v>374</v>
      </c>
      <c r="B58" s="15" t="s">
        <v>374</v>
      </c>
      <c r="C58" s="31" t="s">
        <v>340</v>
      </c>
      <c r="D58" s="31" t="s">
        <v>291</v>
      </c>
      <c r="E58" s="31">
        <v>7</v>
      </c>
      <c r="F58" s="31" t="s">
        <v>91</v>
      </c>
      <c r="G58" s="31">
        <f t="shared" ref="G58:G64" si="14">+G57+1</f>
        <v>3</v>
      </c>
      <c r="H58" s="31" t="s">
        <v>86</v>
      </c>
      <c r="I58" s="21" t="s">
        <v>85</v>
      </c>
      <c r="J58" s="37" t="str">
        <f t="shared" si="0"/>
        <v>C CF C Construction Cost</v>
      </c>
      <c r="K58" s="38" t="str">
        <f t="shared" si="6"/>
        <v>C CF C7 Electrical</v>
      </c>
      <c r="L58" s="39" t="str">
        <f t="shared" si="7"/>
        <v>C CF C7-3 DB Panels</v>
      </c>
      <c r="M58" s="33" t="str">
        <f t="shared" si="3"/>
        <v>C PL C Construction Cost</v>
      </c>
      <c r="N58" s="34" t="str">
        <f t="shared" ref="N58:N70" si="15">IF(M58=0,0,IF(ISBLANK($F58)=FALSE,CONCATENATE(,$C$2," ",$M$2," ",$C58,$E58," ",$F58),0))</f>
        <v>C PL C7 Electrical</v>
      </c>
      <c r="O58" s="41" t="str">
        <f t="shared" ref="O58:O70" si="16">IF(N58=0,0,IF(ISBLANK($F58)=FALSE,CONCATENATE(,$C$2," ",$M$2," ",$C58,$E58,,"-",$G58,," ",$H58),0))</f>
        <v>C PL C7-3 DB Panels</v>
      </c>
    </row>
    <row r="59" spans="1:15" x14ac:dyDescent="0.2">
      <c r="A59" s="15" t="s">
        <v>374</v>
      </c>
      <c r="B59" s="15" t="s">
        <v>374</v>
      </c>
      <c r="C59" s="31" t="s">
        <v>340</v>
      </c>
      <c r="D59" s="31" t="s">
        <v>291</v>
      </c>
      <c r="E59" s="31">
        <v>7</v>
      </c>
      <c r="F59" s="31" t="s">
        <v>91</v>
      </c>
      <c r="G59" s="31">
        <f t="shared" si="14"/>
        <v>4</v>
      </c>
      <c r="H59" s="31" t="s">
        <v>84</v>
      </c>
      <c r="I59" s="21" t="s">
        <v>82</v>
      </c>
      <c r="J59" s="37" t="str">
        <f t="shared" si="0"/>
        <v>C CF C Construction Cost</v>
      </c>
      <c r="K59" s="38" t="str">
        <f t="shared" si="6"/>
        <v>C CF C7 Electrical</v>
      </c>
      <c r="L59" s="39" t="str">
        <f t="shared" si="7"/>
        <v>C CF C7-4 Electrical Labour</v>
      </c>
      <c r="M59" s="33" t="str">
        <f t="shared" si="3"/>
        <v>C PL C Construction Cost</v>
      </c>
      <c r="N59" s="34" t="str">
        <f t="shared" si="15"/>
        <v>C PL C7 Electrical</v>
      </c>
      <c r="O59" s="41" t="str">
        <f t="shared" si="16"/>
        <v>C PL C7-4 Electrical Labour</v>
      </c>
    </row>
    <row r="60" spans="1:15" x14ac:dyDescent="0.2">
      <c r="A60" s="15" t="s">
        <v>374</v>
      </c>
      <c r="B60" s="15" t="s">
        <v>374</v>
      </c>
      <c r="C60" s="31" t="s">
        <v>340</v>
      </c>
      <c r="D60" s="31" t="s">
        <v>291</v>
      </c>
      <c r="E60" s="31">
        <v>7</v>
      </c>
      <c r="F60" s="31" t="s">
        <v>91</v>
      </c>
      <c r="G60" s="31">
        <f t="shared" si="14"/>
        <v>5</v>
      </c>
      <c r="H60" s="31" t="s">
        <v>271</v>
      </c>
      <c r="I60" s="21" t="s">
        <v>270</v>
      </c>
      <c r="J60" s="37" t="str">
        <f t="shared" si="0"/>
        <v>C CF C Construction Cost</v>
      </c>
      <c r="K60" s="38" t="str">
        <f t="shared" si="6"/>
        <v>C CF C7 Electrical</v>
      </c>
      <c r="L60" s="39" t="str">
        <f t="shared" si="7"/>
        <v>C CF C7-5 Electrical Meter</v>
      </c>
      <c r="M60" s="33" t="str">
        <f t="shared" si="3"/>
        <v>C PL C Construction Cost</v>
      </c>
      <c r="N60" s="34" t="str">
        <f t="shared" si="15"/>
        <v>C PL C7 Electrical</v>
      </c>
      <c r="O60" s="41" t="str">
        <f t="shared" si="16"/>
        <v>C PL C7-5 Electrical Meter</v>
      </c>
    </row>
    <row r="61" spans="1:15" x14ac:dyDescent="0.2">
      <c r="A61" s="15" t="s">
        <v>374</v>
      </c>
      <c r="B61" s="15" t="s">
        <v>374</v>
      </c>
      <c r="C61" s="31" t="s">
        <v>340</v>
      </c>
      <c r="D61" s="31" t="s">
        <v>291</v>
      </c>
      <c r="E61" s="31">
        <v>7</v>
      </c>
      <c r="F61" s="31" t="s">
        <v>91</v>
      </c>
      <c r="G61" s="31">
        <f t="shared" si="14"/>
        <v>6</v>
      </c>
      <c r="H61" s="31" t="s">
        <v>269</v>
      </c>
      <c r="I61" s="21" t="s">
        <v>269</v>
      </c>
      <c r="J61" s="37" t="str">
        <f t="shared" si="0"/>
        <v>C CF C Construction Cost</v>
      </c>
      <c r="K61" s="38" t="str">
        <f t="shared" si="6"/>
        <v>C CF C7 Electrical</v>
      </c>
      <c r="L61" s="39" t="str">
        <f t="shared" si="7"/>
        <v xml:space="preserve">C CF C7-6 Exaust Fan </v>
      </c>
      <c r="M61" s="33" t="str">
        <f t="shared" si="3"/>
        <v>C PL C Construction Cost</v>
      </c>
      <c r="N61" s="34" t="str">
        <f t="shared" si="15"/>
        <v>C PL C7 Electrical</v>
      </c>
      <c r="O61" s="41" t="str">
        <f t="shared" si="16"/>
        <v xml:space="preserve">C PL C7-6 Exaust Fan </v>
      </c>
    </row>
    <row r="62" spans="1:15" x14ac:dyDescent="0.2">
      <c r="A62" s="15" t="s">
        <v>374</v>
      </c>
      <c r="B62" s="15" t="s">
        <v>374</v>
      </c>
      <c r="C62" s="31" t="s">
        <v>340</v>
      </c>
      <c r="D62" s="31" t="s">
        <v>291</v>
      </c>
      <c r="E62" s="31">
        <v>7</v>
      </c>
      <c r="F62" s="31" t="s">
        <v>91</v>
      </c>
      <c r="G62" s="31">
        <f t="shared" si="14"/>
        <v>7</v>
      </c>
      <c r="H62" s="31" t="s">
        <v>268</v>
      </c>
      <c r="J62" s="37" t="str">
        <f t="shared" si="0"/>
        <v>C CF C Construction Cost</v>
      </c>
      <c r="K62" s="38" t="str">
        <f t="shared" si="6"/>
        <v>C CF C7 Electrical</v>
      </c>
      <c r="L62" s="39" t="str">
        <f t="shared" si="7"/>
        <v>C CF C7-7 AC Fitting Work</v>
      </c>
      <c r="M62" s="33" t="str">
        <f t="shared" si="3"/>
        <v>C PL C Construction Cost</v>
      </c>
      <c r="N62" s="34" t="str">
        <f t="shared" si="15"/>
        <v>C PL C7 Electrical</v>
      </c>
      <c r="O62" s="41" t="str">
        <f t="shared" si="16"/>
        <v>C PL C7-7 AC Fitting Work</v>
      </c>
    </row>
    <row r="63" spans="1:15" x14ac:dyDescent="0.2">
      <c r="A63" s="15" t="s">
        <v>374</v>
      </c>
      <c r="B63" s="15" t="s">
        <v>374</v>
      </c>
      <c r="C63" s="31" t="s">
        <v>340</v>
      </c>
      <c r="D63" s="31" t="s">
        <v>291</v>
      </c>
      <c r="E63" s="31">
        <v>7</v>
      </c>
      <c r="F63" s="31" t="s">
        <v>91</v>
      </c>
      <c r="G63" s="31">
        <f t="shared" si="14"/>
        <v>8</v>
      </c>
      <c r="H63" s="31" t="s">
        <v>267</v>
      </c>
      <c r="J63" s="37" t="str">
        <f t="shared" si="0"/>
        <v>C CF C Construction Cost</v>
      </c>
      <c r="K63" s="38" t="str">
        <f t="shared" si="6"/>
        <v>C CF C7 Electrical</v>
      </c>
      <c r="L63" s="39" t="str">
        <f t="shared" si="7"/>
        <v>C CF C7-8 Home Automation</v>
      </c>
      <c r="M63" s="33" t="str">
        <f t="shared" si="3"/>
        <v>C PL C Construction Cost</v>
      </c>
      <c r="N63" s="34" t="str">
        <f t="shared" si="15"/>
        <v>C PL C7 Electrical</v>
      </c>
      <c r="O63" s="41" t="str">
        <f t="shared" si="16"/>
        <v>C PL C7-8 Home Automation</v>
      </c>
    </row>
    <row r="64" spans="1:15" x14ac:dyDescent="0.2">
      <c r="A64" s="15" t="s">
        <v>374</v>
      </c>
      <c r="B64" s="15" t="s">
        <v>374</v>
      </c>
      <c r="C64" s="31" t="s">
        <v>340</v>
      </c>
      <c r="D64" s="31" t="s">
        <v>291</v>
      </c>
      <c r="E64" s="31">
        <v>7</v>
      </c>
      <c r="F64" s="31" t="s">
        <v>91</v>
      </c>
      <c r="G64" s="31">
        <f t="shared" si="14"/>
        <v>9</v>
      </c>
      <c r="H64" s="31" t="s">
        <v>160</v>
      </c>
      <c r="I64" s="21" t="s">
        <v>160</v>
      </c>
      <c r="J64" s="37" t="str">
        <f t="shared" si="0"/>
        <v>C CF C Construction Cost</v>
      </c>
      <c r="K64" s="38" t="str">
        <f t="shared" si="6"/>
        <v>C CF C7 Electrical</v>
      </c>
      <c r="L64" s="39" t="str">
        <f t="shared" si="7"/>
        <v>C CF C7-9 Other electrical material</v>
      </c>
      <c r="M64" s="33" t="str">
        <f t="shared" si="3"/>
        <v>C PL C Construction Cost</v>
      </c>
      <c r="N64" s="34" t="str">
        <f t="shared" si="15"/>
        <v>C PL C7 Electrical</v>
      </c>
      <c r="O64" s="41" t="str">
        <f t="shared" si="16"/>
        <v>C PL C7-9 Other electrical material</v>
      </c>
    </row>
    <row r="65" spans="1:15" x14ac:dyDescent="0.2">
      <c r="A65" s="15" t="s">
        <v>374</v>
      </c>
      <c r="B65" s="15" t="s">
        <v>374</v>
      </c>
      <c r="C65" s="31" t="s">
        <v>340</v>
      </c>
      <c r="D65" s="31" t="s">
        <v>291</v>
      </c>
      <c r="E65" s="31">
        <v>8</v>
      </c>
      <c r="F65" s="31" t="s">
        <v>80</v>
      </c>
      <c r="G65" s="31">
        <v>1</v>
      </c>
      <c r="H65" s="31" t="s">
        <v>79</v>
      </c>
      <c r="I65" s="21" t="s">
        <v>78</v>
      </c>
      <c r="J65" s="37" t="str">
        <f t="shared" si="0"/>
        <v>C CF C Construction Cost</v>
      </c>
      <c r="K65" s="38" t="str">
        <f t="shared" si="6"/>
        <v>C CF C8 Plumbing</v>
      </c>
      <c r="L65" s="39" t="str">
        <f t="shared" si="7"/>
        <v>C CF C8-1 Pipes</v>
      </c>
      <c r="M65" s="33" t="str">
        <f t="shared" si="3"/>
        <v>C PL C Construction Cost</v>
      </c>
      <c r="N65" s="34" t="str">
        <f t="shared" si="15"/>
        <v>C PL C8 Plumbing</v>
      </c>
      <c r="O65" s="41" t="str">
        <f t="shared" si="16"/>
        <v>C PL C8-1 Pipes</v>
      </c>
    </row>
    <row r="66" spans="1:15" x14ac:dyDescent="0.2">
      <c r="A66" s="15" t="s">
        <v>374</v>
      </c>
      <c r="B66" s="15" t="s">
        <v>374</v>
      </c>
      <c r="C66" s="31" t="s">
        <v>340</v>
      </c>
      <c r="D66" s="31" t="s">
        <v>291</v>
      </c>
      <c r="E66" s="31">
        <v>8</v>
      </c>
      <c r="F66" s="31" t="s">
        <v>80</v>
      </c>
      <c r="G66" s="31">
        <f>+G65+1</f>
        <v>2</v>
      </c>
      <c r="H66" s="31" t="s">
        <v>77</v>
      </c>
      <c r="I66" s="21" t="s">
        <v>76</v>
      </c>
      <c r="J66" s="37" t="str">
        <f t="shared" si="0"/>
        <v>C CF C Construction Cost</v>
      </c>
      <c r="K66" s="38" t="str">
        <f t="shared" si="6"/>
        <v>C CF C8 Plumbing</v>
      </c>
      <c r="L66" s="39" t="str">
        <f t="shared" si="7"/>
        <v>C CF C8-2 Fittings</v>
      </c>
      <c r="M66" s="33" t="str">
        <f t="shared" si="3"/>
        <v>C PL C Construction Cost</v>
      </c>
      <c r="N66" s="34" t="str">
        <f t="shared" si="15"/>
        <v>C PL C8 Plumbing</v>
      </c>
      <c r="O66" s="41" t="str">
        <f t="shared" si="16"/>
        <v>C PL C8-2 Fittings</v>
      </c>
    </row>
    <row r="67" spans="1:15" x14ac:dyDescent="0.2">
      <c r="A67" s="15" t="s">
        <v>374</v>
      </c>
      <c r="B67" s="15" t="s">
        <v>374</v>
      </c>
      <c r="C67" s="31" t="s">
        <v>340</v>
      </c>
      <c r="D67" s="31" t="s">
        <v>291</v>
      </c>
      <c r="E67" s="31">
        <v>8</v>
      </c>
      <c r="F67" s="31" t="s">
        <v>80</v>
      </c>
      <c r="G67" s="31">
        <f t="shared" ref="G67:G70" si="17">+G66+1</f>
        <v>3</v>
      </c>
      <c r="H67" s="31" t="s">
        <v>75</v>
      </c>
      <c r="I67" s="21" t="s">
        <v>74</v>
      </c>
      <c r="J67" s="37" t="str">
        <f t="shared" si="0"/>
        <v>C CF C Construction Cost</v>
      </c>
      <c r="K67" s="38" t="str">
        <f t="shared" si="6"/>
        <v>C CF C8 Plumbing</v>
      </c>
      <c r="L67" s="39" t="str">
        <f t="shared" si="7"/>
        <v>C CF C8-3 Plumbing Labour</v>
      </c>
      <c r="M67" s="33" t="str">
        <f t="shared" si="3"/>
        <v>C PL C Construction Cost</v>
      </c>
      <c r="N67" s="34" t="str">
        <f t="shared" si="15"/>
        <v>C PL C8 Plumbing</v>
      </c>
      <c r="O67" s="41" t="str">
        <f t="shared" si="16"/>
        <v>C PL C8-3 Plumbing Labour</v>
      </c>
    </row>
    <row r="68" spans="1:15" x14ac:dyDescent="0.2">
      <c r="A68" s="15" t="s">
        <v>374</v>
      </c>
      <c r="B68" s="15" t="s">
        <v>374</v>
      </c>
      <c r="C68" s="31" t="s">
        <v>340</v>
      </c>
      <c r="D68" s="31" t="s">
        <v>291</v>
      </c>
      <c r="E68" s="31">
        <v>8</v>
      </c>
      <c r="F68" s="31" t="s">
        <v>80</v>
      </c>
      <c r="G68" s="31">
        <f t="shared" si="17"/>
        <v>4</v>
      </c>
      <c r="H68" s="31" t="s">
        <v>266</v>
      </c>
      <c r="I68" s="21" t="s">
        <v>265</v>
      </c>
      <c r="J68" s="37" t="str">
        <f t="shared" si="0"/>
        <v>C CF C Construction Cost</v>
      </c>
      <c r="K68" s="38" t="str">
        <f t="shared" si="6"/>
        <v>C CF C8 Plumbing</v>
      </c>
      <c r="L68" s="39" t="str">
        <f t="shared" si="7"/>
        <v>C CF C8-4 Sanitary Ware</v>
      </c>
      <c r="M68" s="33" t="str">
        <f t="shared" si="3"/>
        <v>C PL C Construction Cost</v>
      </c>
      <c r="N68" s="34" t="str">
        <f t="shared" si="15"/>
        <v>C PL C8 Plumbing</v>
      </c>
      <c r="O68" s="41" t="str">
        <f t="shared" si="16"/>
        <v>C PL C8-4 Sanitary Ware</v>
      </c>
    </row>
    <row r="69" spans="1:15" x14ac:dyDescent="0.2">
      <c r="A69" s="15" t="s">
        <v>374</v>
      </c>
      <c r="B69" s="15" t="s">
        <v>374</v>
      </c>
      <c r="C69" s="31" t="s">
        <v>340</v>
      </c>
      <c r="D69" s="31" t="s">
        <v>291</v>
      </c>
      <c r="E69" s="31">
        <v>8</v>
      </c>
      <c r="F69" s="31" t="s">
        <v>80</v>
      </c>
      <c r="G69" s="31">
        <f t="shared" si="17"/>
        <v>5</v>
      </c>
      <c r="H69" s="31" t="s">
        <v>264</v>
      </c>
      <c r="I69" s="21" t="s">
        <v>264</v>
      </c>
      <c r="J69" s="37" t="str">
        <f t="shared" si="0"/>
        <v>C CF C Construction Cost</v>
      </c>
      <c r="K69" s="38" t="str">
        <f t="shared" si="6"/>
        <v>C CF C8 Plumbing</v>
      </c>
      <c r="L69" s="39" t="str">
        <f t="shared" si="7"/>
        <v>C CF C8-5 Other Misc purchase</v>
      </c>
      <c r="M69" s="33" t="str">
        <f t="shared" si="3"/>
        <v>C PL C Construction Cost</v>
      </c>
      <c r="N69" s="34" t="str">
        <f t="shared" si="15"/>
        <v>C PL C8 Plumbing</v>
      </c>
      <c r="O69" s="41" t="str">
        <f t="shared" si="16"/>
        <v>C PL C8-5 Other Misc purchase</v>
      </c>
    </row>
    <row r="70" spans="1:15" x14ac:dyDescent="0.2">
      <c r="A70" s="15" t="s">
        <v>374</v>
      </c>
      <c r="B70" s="15" t="s">
        <v>374</v>
      </c>
      <c r="C70" s="31" t="s">
        <v>340</v>
      </c>
      <c r="D70" s="31" t="s">
        <v>291</v>
      </c>
      <c r="E70" s="31">
        <v>8</v>
      </c>
      <c r="F70" s="31" t="s">
        <v>80</v>
      </c>
      <c r="G70" s="31">
        <f t="shared" si="17"/>
        <v>6</v>
      </c>
      <c r="H70" s="31" t="s">
        <v>263</v>
      </c>
      <c r="J70" s="37" t="str">
        <f t="shared" si="0"/>
        <v>C CF C Construction Cost</v>
      </c>
      <c r="K70" s="38" t="str">
        <f t="shared" si="6"/>
        <v>C CF C8 Plumbing</v>
      </c>
      <c r="L70" s="39" t="str">
        <f t="shared" si="7"/>
        <v>C CF C8-6 Sanitary Material &amp; C P Fitting</v>
      </c>
      <c r="M70" s="33" t="str">
        <f t="shared" si="3"/>
        <v>C PL C Construction Cost</v>
      </c>
      <c r="N70" s="34" t="str">
        <f t="shared" si="15"/>
        <v>C PL C8 Plumbing</v>
      </c>
      <c r="O70" s="41" t="str">
        <f t="shared" si="16"/>
        <v>C PL C8-6 Sanitary Material &amp; C P Fitting</v>
      </c>
    </row>
    <row r="71" spans="1:15" x14ac:dyDescent="0.2">
      <c r="A71" s="15" t="s">
        <v>374</v>
      </c>
      <c r="B71" s="15" t="s">
        <v>374</v>
      </c>
      <c r="C71" s="31" t="s">
        <v>340</v>
      </c>
      <c r="D71" s="31" t="s">
        <v>291</v>
      </c>
      <c r="E71" s="31">
        <v>9</v>
      </c>
      <c r="F71" s="31" t="s">
        <v>73</v>
      </c>
      <c r="G71" s="31">
        <v>1</v>
      </c>
      <c r="H71" s="31" t="s">
        <v>72</v>
      </c>
      <c r="I71" s="21" t="s">
        <v>71</v>
      </c>
      <c r="J71" s="37" t="str">
        <f t="shared" si="0"/>
        <v>C CF C Construction Cost</v>
      </c>
      <c r="K71" s="38" t="str">
        <f t="shared" si="6"/>
        <v>C CF C9 Waterproofing</v>
      </c>
      <c r="L71" s="39" t="str">
        <f t="shared" si="7"/>
        <v>C CF C9-1 Chemical Waterproofing</v>
      </c>
      <c r="M71" s="33" t="str">
        <f t="shared" si="3"/>
        <v>C PL C Construction Cost</v>
      </c>
      <c r="N71" s="34" t="str">
        <f t="shared" ref="N71:N94" si="18">IF(M71=0,0,IF(ISBLANK($F71)=FALSE,CONCATENATE(,$C$2," ",$M$2," ",$C71,$E71," ",$F71),0))</f>
        <v>C PL C9 Waterproofing</v>
      </c>
      <c r="O71" s="41" t="str">
        <f t="shared" ref="O71:O94" si="19">IF(N71=0,0,IF(ISBLANK($F71)=FALSE,CONCATENATE(,$C$2," ",$M$2," ",$C71,$E71,,"-",$G71,," ",$H71),0))</f>
        <v>C PL C9-1 Chemical Waterproofing</v>
      </c>
    </row>
    <row r="72" spans="1:15" x14ac:dyDescent="0.2">
      <c r="A72" s="15" t="s">
        <v>374</v>
      </c>
      <c r="B72" s="15" t="s">
        <v>374</v>
      </c>
      <c r="C72" s="31" t="s">
        <v>340</v>
      </c>
      <c r="D72" s="31" t="s">
        <v>291</v>
      </c>
      <c r="E72" s="31">
        <v>9</v>
      </c>
      <c r="F72" s="31" t="s">
        <v>73</v>
      </c>
      <c r="G72" s="31">
        <v>2</v>
      </c>
      <c r="H72" s="31" t="s">
        <v>70</v>
      </c>
      <c r="I72" s="21" t="s">
        <v>69</v>
      </c>
      <c r="J72" s="37" t="str">
        <f t="shared" ref="J72:J122" si="20">IF($A72="No",0,IF(ISBLANK($D72)=FALSE,CONCATENATE(,$C$2," ",$J$2," ",$C72," ",$D72),0))</f>
        <v>C CF C Construction Cost</v>
      </c>
      <c r="K72" s="38" t="str">
        <f t="shared" si="6"/>
        <v>C CF C9 Waterproofing</v>
      </c>
      <c r="L72" s="39" t="str">
        <f t="shared" si="7"/>
        <v>C CF C9-2 Waterproofing Labour</v>
      </c>
      <c r="M72" s="33" t="str">
        <f t="shared" ref="M72:M122" si="21">IF($B72="No",0,IF(ISBLANK($D72)=FALSE,CONCATENATE(,$C$2," ",$M$2," ",$C72," ",$D72),0))</f>
        <v>C PL C Construction Cost</v>
      </c>
      <c r="N72" s="34" t="str">
        <f t="shared" si="18"/>
        <v>C PL C9 Waterproofing</v>
      </c>
      <c r="O72" s="41" t="str">
        <f t="shared" si="19"/>
        <v>C PL C9-2 Waterproofing Labour</v>
      </c>
    </row>
    <row r="73" spans="1:15" x14ac:dyDescent="0.2">
      <c r="A73" s="15" t="s">
        <v>374</v>
      </c>
      <c r="B73" s="15" t="s">
        <v>374</v>
      </c>
      <c r="C73" s="31" t="s">
        <v>340</v>
      </c>
      <c r="D73" s="31" t="s">
        <v>291</v>
      </c>
      <c r="E73" s="31">
        <v>9</v>
      </c>
      <c r="F73" s="31" t="s">
        <v>73</v>
      </c>
      <c r="G73" s="31">
        <v>3</v>
      </c>
      <c r="H73" s="31" t="s">
        <v>262</v>
      </c>
      <c r="J73" s="37" t="str">
        <f t="shared" si="20"/>
        <v>C CF C Construction Cost</v>
      </c>
      <c r="K73" s="38" t="str">
        <f t="shared" ref="K73:K122" si="22">IF($J73=0,0,IF(ISBLANK($F73)=FALSE,CONCATENATE(,$C$2," ",$J$2," ",$C73,$E73," ",$F73),0))</f>
        <v>C CF C9 Waterproofing</v>
      </c>
      <c r="L73" s="39" t="str">
        <f t="shared" ref="L73:L122" si="23">IF($K73=0,0,IF(ISBLANK($F73)=FALSE,CONCATENATE(,$C$2," ",$J$2," ",$C73,$E73,,"-",$G73,," ",$H73),0))</f>
        <v>C CF C9-3 Penetron</v>
      </c>
      <c r="M73" s="33" t="str">
        <f t="shared" si="21"/>
        <v>C PL C Construction Cost</v>
      </c>
      <c r="N73" s="34" t="str">
        <f t="shared" si="18"/>
        <v>C PL C9 Waterproofing</v>
      </c>
      <c r="O73" s="41" t="str">
        <f t="shared" si="19"/>
        <v>C PL C9-3 Penetron</v>
      </c>
    </row>
    <row r="74" spans="1:15" x14ac:dyDescent="0.2">
      <c r="A74" s="15" t="s">
        <v>374</v>
      </c>
      <c r="B74" s="15" t="s">
        <v>374</v>
      </c>
      <c r="C74" s="31" t="s">
        <v>340</v>
      </c>
      <c r="D74" s="31" t="s">
        <v>291</v>
      </c>
      <c r="E74" s="31">
        <v>10</v>
      </c>
      <c r="F74" s="31" t="s">
        <v>68</v>
      </c>
      <c r="G74" s="31">
        <v>1</v>
      </c>
      <c r="H74" s="31" t="s">
        <v>67</v>
      </c>
      <c r="I74" s="21" t="s">
        <v>66</v>
      </c>
      <c r="J74" s="37" t="str">
        <f t="shared" si="20"/>
        <v>C CF C Construction Cost</v>
      </c>
      <c r="K74" s="38" t="str">
        <f t="shared" si="22"/>
        <v>C CF C10 Painting</v>
      </c>
      <c r="L74" s="39" t="str">
        <f t="shared" si="23"/>
        <v>C CF C10-1 Primer</v>
      </c>
      <c r="M74" s="33" t="str">
        <f t="shared" si="21"/>
        <v>C PL C Construction Cost</v>
      </c>
      <c r="N74" s="34" t="str">
        <f t="shared" si="18"/>
        <v>C PL C10 Painting</v>
      </c>
      <c r="O74" s="41" t="str">
        <f t="shared" si="19"/>
        <v>C PL C10-1 Primer</v>
      </c>
    </row>
    <row r="75" spans="1:15" x14ac:dyDescent="0.2">
      <c r="A75" s="15" t="s">
        <v>374</v>
      </c>
      <c r="B75" s="15" t="s">
        <v>374</v>
      </c>
      <c r="C75" s="31" t="s">
        <v>340</v>
      </c>
      <c r="D75" s="31" t="s">
        <v>291</v>
      </c>
      <c r="E75" s="31">
        <v>10</v>
      </c>
      <c r="F75" s="31" t="s">
        <v>68</v>
      </c>
      <c r="G75" s="31">
        <v>2</v>
      </c>
      <c r="H75" s="31" t="s">
        <v>65</v>
      </c>
      <c r="I75" s="21" t="s">
        <v>64</v>
      </c>
      <c r="J75" s="37" t="str">
        <f t="shared" si="20"/>
        <v>C CF C Construction Cost</v>
      </c>
      <c r="K75" s="38" t="str">
        <f t="shared" si="22"/>
        <v>C CF C10 Painting</v>
      </c>
      <c r="L75" s="39" t="str">
        <f t="shared" si="23"/>
        <v>C CF C10-2 Paint</v>
      </c>
      <c r="M75" s="33" t="str">
        <f t="shared" si="21"/>
        <v>C PL C Construction Cost</v>
      </c>
      <c r="N75" s="34" t="str">
        <f t="shared" si="18"/>
        <v>C PL C10 Painting</v>
      </c>
      <c r="O75" s="41" t="str">
        <f t="shared" si="19"/>
        <v>C PL C10-2 Paint</v>
      </c>
    </row>
    <row r="76" spans="1:15" x14ac:dyDescent="0.2">
      <c r="A76" s="15" t="s">
        <v>374</v>
      </c>
      <c r="B76" s="15" t="s">
        <v>374</v>
      </c>
      <c r="C76" s="31" t="s">
        <v>340</v>
      </c>
      <c r="D76" s="31" t="s">
        <v>291</v>
      </c>
      <c r="E76" s="31">
        <v>10</v>
      </c>
      <c r="F76" s="31" t="s">
        <v>68</v>
      </c>
      <c r="G76" s="31">
        <v>3</v>
      </c>
      <c r="H76" s="31" t="s">
        <v>63</v>
      </c>
      <c r="I76" s="21" t="s">
        <v>62</v>
      </c>
      <c r="J76" s="37" t="str">
        <f t="shared" si="20"/>
        <v>C CF C Construction Cost</v>
      </c>
      <c r="K76" s="38" t="str">
        <f t="shared" si="22"/>
        <v>C CF C10 Painting</v>
      </c>
      <c r="L76" s="39" t="str">
        <f t="shared" si="23"/>
        <v>C CF C10-3 Painting Labour</v>
      </c>
      <c r="M76" s="33" t="str">
        <f t="shared" si="21"/>
        <v>C PL C Construction Cost</v>
      </c>
      <c r="N76" s="34" t="str">
        <f t="shared" si="18"/>
        <v>C PL C10 Painting</v>
      </c>
      <c r="O76" s="41" t="str">
        <f t="shared" si="19"/>
        <v>C PL C10-3 Painting Labour</v>
      </c>
    </row>
    <row r="77" spans="1:15" x14ac:dyDescent="0.2">
      <c r="A77" s="15" t="s">
        <v>374</v>
      </c>
      <c r="B77" s="15" t="s">
        <v>374</v>
      </c>
      <c r="C77" s="31" t="s">
        <v>340</v>
      </c>
      <c r="D77" s="31" t="s">
        <v>291</v>
      </c>
      <c r="E77" s="31">
        <v>10</v>
      </c>
      <c r="F77" s="31" t="s">
        <v>68</v>
      </c>
      <c r="G77" s="31">
        <v>4</v>
      </c>
      <c r="H77" s="31" t="s">
        <v>261</v>
      </c>
      <c r="I77" s="21" t="s">
        <v>260</v>
      </c>
      <c r="J77" s="37" t="str">
        <f t="shared" si="20"/>
        <v>C CF C Construction Cost</v>
      </c>
      <c r="K77" s="38" t="str">
        <f t="shared" si="22"/>
        <v>C CF C10 Painting</v>
      </c>
      <c r="L77" s="39" t="str">
        <f t="shared" si="23"/>
        <v>C CF C10-4 Other Misc. Painting Material</v>
      </c>
      <c r="M77" s="33" t="str">
        <f t="shared" si="21"/>
        <v>C PL C Construction Cost</v>
      </c>
      <c r="N77" s="34" t="str">
        <f t="shared" si="18"/>
        <v>C PL C10 Painting</v>
      </c>
      <c r="O77" s="41" t="str">
        <f t="shared" si="19"/>
        <v>C PL C10-4 Other Misc. Painting Material</v>
      </c>
    </row>
    <row r="78" spans="1:15" x14ac:dyDescent="0.2">
      <c r="A78" s="15" t="s">
        <v>374</v>
      </c>
      <c r="B78" s="15" t="s">
        <v>374</v>
      </c>
      <c r="C78" s="31" t="s">
        <v>340</v>
      </c>
      <c r="D78" s="31" t="s">
        <v>291</v>
      </c>
      <c r="E78" s="31">
        <v>10</v>
      </c>
      <c r="F78" s="31" t="s">
        <v>68</v>
      </c>
      <c r="G78" s="31">
        <v>5</v>
      </c>
      <c r="H78" s="31" t="s">
        <v>157</v>
      </c>
      <c r="J78" s="37" t="str">
        <f t="shared" si="20"/>
        <v>C CF C Construction Cost</v>
      </c>
      <c r="K78" s="38" t="str">
        <f t="shared" si="22"/>
        <v>C CF C10 Painting</v>
      </c>
      <c r="L78" s="39" t="str">
        <f t="shared" si="23"/>
        <v>C CF C10-5 Landscaping/ Painting Work</v>
      </c>
      <c r="M78" s="33" t="str">
        <f t="shared" si="21"/>
        <v>C PL C Construction Cost</v>
      </c>
      <c r="N78" s="34" t="str">
        <f t="shared" si="18"/>
        <v>C PL C10 Painting</v>
      </c>
      <c r="O78" s="41" t="str">
        <f t="shared" si="19"/>
        <v>C PL C10-5 Landscaping/ Painting Work</v>
      </c>
    </row>
    <row r="79" spans="1:15" x14ac:dyDescent="0.2">
      <c r="A79" s="15" t="s">
        <v>374</v>
      </c>
      <c r="B79" s="15" t="s">
        <v>374</v>
      </c>
      <c r="C79" s="31" t="s">
        <v>340</v>
      </c>
      <c r="D79" s="31" t="s">
        <v>291</v>
      </c>
      <c r="E79" s="31">
        <v>11</v>
      </c>
      <c r="F79" s="31" t="s">
        <v>259</v>
      </c>
      <c r="G79" s="31">
        <v>1</v>
      </c>
      <c r="H79" s="31" t="s">
        <v>258</v>
      </c>
      <c r="J79" s="37" t="str">
        <f t="shared" si="20"/>
        <v>C CF C Construction Cost</v>
      </c>
      <c r="K79" s="38" t="str">
        <f t="shared" si="22"/>
        <v>C CF C11 Transportation</v>
      </c>
      <c r="L79" s="39" t="str">
        <f t="shared" si="23"/>
        <v>C CF C11-1 Material Transportation</v>
      </c>
      <c r="M79" s="33" t="str">
        <f t="shared" si="21"/>
        <v>C PL C Construction Cost</v>
      </c>
      <c r="N79" s="34" t="str">
        <f t="shared" si="18"/>
        <v>C PL C11 Transportation</v>
      </c>
      <c r="O79" s="41" t="str">
        <f t="shared" si="19"/>
        <v>C PL C11-1 Material Transportation</v>
      </c>
    </row>
    <row r="80" spans="1:15" x14ac:dyDescent="0.2">
      <c r="A80" s="15" t="s">
        <v>374</v>
      </c>
      <c r="B80" s="15" t="s">
        <v>374</v>
      </c>
      <c r="C80" s="31" t="s">
        <v>340</v>
      </c>
      <c r="D80" s="31" t="s">
        <v>291</v>
      </c>
      <c r="E80" s="31">
        <v>11</v>
      </c>
      <c r="F80" s="31" t="s">
        <v>259</v>
      </c>
      <c r="G80" s="31">
        <v>2</v>
      </c>
      <c r="H80" s="31" t="s">
        <v>257</v>
      </c>
      <c r="J80" s="37" t="str">
        <f t="shared" si="20"/>
        <v>C CF C Construction Cost</v>
      </c>
      <c r="K80" s="38" t="str">
        <f t="shared" si="22"/>
        <v>C CF C11 Transportation</v>
      </c>
      <c r="L80" s="39" t="str">
        <f t="shared" si="23"/>
        <v>C CF C11-2 JCB</v>
      </c>
      <c r="M80" s="33" t="str">
        <f t="shared" si="21"/>
        <v>C PL C Construction Cost</v>
      </c>
      <c r="N80" s="34" t="str">
        <f t="shared" si="18"/>
        <v>C PL C11 Transportation</v>
      </c>
      <c r="O80" s="41" t="str">
        <f t="shared" si="19"/>
        <v>C PL C11-2 JCB</v>
      </c>
    </row>
    <row r="81" spans="1:15" x14ac:dyDescent="0.2">
      <c r="A81" s="15" t="s">
        <v>374</v>
      </c>
      <c r="B81" s="15" t="s">
        <v>374</v>
      </c>
      <c r="C81" s="31" t="s">
        <v>340</v>
      </c>
      <c r="D81" s="31" t="s">
        <v>291</v>
      </c>
      <c r="E81" s="31">
        <v>11</v>
      </c>
      <c r="F81" s="31" t="s">
        <v>259</v>
      </c>
      <c r="G81" s="31">
        <v>3</v>
      </c>
      <c r="H81" s="31" t="s">
        <v>256</v>
      </c>
      <c r="J81" s="37" t="str">
        <f t="shared" si="20"/>
        <v>C CF C Construction Cost</v>
      </c>
      <c r="K81" s="38" t="str">
        <f t="shared" si="22"/>
        <v>C CF C11 Transportation</v>
      </c>
      <c r="L81" s="39" t="str">
        <f t="shared" si="23"/>
        <v>C CF C11-3 Crane services</v>
      </c>
      <c r="M81" s="33" t="str">
        <f t="shared" si="21"/>
        <v>C PL C Construction Cost</v>
      </c>
      <c r="N81" s="34" t="str">
        <f t="shared" si="18"/>
        <v>C PL C11 Transportation</v>
      </c>
      <c r="O81" s="41" t="str">
        <f t="shared" si="19"/>
        <v>C PL C11-3 Crane services</v>
      </c>
    </row>
    <row r="82" spans="1:15" x14ac:dyDescent="0.2">
      <c r="A82" s="15" t="s">
        <v>374</v>
      </c>
      <c r="B82" s="15" t="s">
        <v>374</v>
      </c>
      <c r="C82" s="31" t="s">
        <v>340</v>
      </c>
      <c r="D82" s="31" t="s">
        <v>291</v>
      </c>
      <c r="E82" s="31">
        <v>11</v>
      </c>
      <c r="F82" s="31" t="s">
        <v>259</v>
      </c>
      <c r="G82" s="31">
        <v>4</v>
      </c>
      <c r="H82" s="31" t="s">
        <v>255</v>
      </c>
      <c r="J82" s="37" t="str">
        <f t="shared" si="20"/>
        <v>C CF C Construction Cost</v>
      </c>
      <c r="K82" s="38" t="str">
        <f t="shared" si="22"/>
        <v>C CF C11 Transportation</v>
      </c>
      <c r="L82" s="39" t="str">
        <f t="shared" si="23"/>
        <v>C CF C11-4 Loading/ Unloading Chg</v>
      </c>
      <c r="M82" s="33" t="str">
        <f t="shared" si="21"/>
        <v>C PL C Construction Cost</v>
      </c>
      <c r="N82" s="34" t="str">
        <f t="shared" si="18"/>
        <v>C PL C11 Transportation</v>
      </c>
      <c r="O82" s="41" t="str">
        <f t="shared" si="19"/>
        <v>C PL C11-4 Loading/ Unloading Chg</v>
      </c>
    </row>
    <row r="83" spans="1:15" x14ac:dyDescent="0.2">
      <c r="A83" s="15" t="s">
        <v>374</v>
      </c>
      <c r="B83" s="15" t="s">
        <v>374</v>
      </c>
      <c r="C83" s="31" t="s">
        <v>340</v>
      </c>
      <c r="D83" s="31" t="s">
        <v>291</v>
      </c>
      <c r="E83" s="31">
        <v>12</v>
      </c>
      <c r="F83" s="31" t="s">
        <v>61</v>
      </c>
      <c r="G83" s="31">
        <v>1</v>
      </c>
      <c r="H83" s="31" t="s">
        <v>254</v>
      </c>
      <c r="I83" s="21" t="s">
        <v>60</v>
      </c>
      <c r="J83" s="37" t="str">
        <f t="shared" si="20"/>
        <v>C CF C Construction Cost</v>
      </c>
      <c r="K83" s="38" t="str">
        <f t="shared" si="22"/>
        <v>C CF C12 Furniture/Equipments</v>
      </c>
      <c r="L83" s="39" t="str">
        <f t="shared" si="23"/>
        <v>C CF C12-1 Lift</v>
      </c>
      <c r="M83" s="33" t="str">
        <f t="shared" si="21"/>
        <v>C PL C Construction Cost</v>
      </c>
      <c r="N83" s="34" t="str">
        <f t="shared" si="18"/>
        <v>C PL C12 Furniture/Equipments</v>
      </c>
      <c r="O83" s="41" t="str">
        <f t="shared" si="19"/>
        <v>C PL C12-1 Lift</v>
      </c>
    </row>
    <row r="84" spans="1:15" x14ac:dyDescent="0.2">
      <c r="A84" s="15" t="s">
        <v>374</v>
      </c>
      <c r="B84" s="15" t="s">
        <v>374</v>
      </c>
      <c r="C84" s="31" t="s">
        <v>340</v>
      </c>
      <c r="D84" s="31" t="s">
        <v>291</v>
      </c>
      <c r="E84" s="31">
        <v>12</v>
      </c>
      <c r="F84" s="31" t="s">
        <v>61</v>
      </c>
      <c r="G84" s="31">
        <v>2</v>
      </c>
      <c r="H84" s="31" t="s">
        <v>253</v>
      </c>
      <c r="I84" s="21" t="s">
        <v>60</v>
      </c>
      <c r="J84" s="37" t="str">
        <f t="shared" si="20"/>
        <v>C CF C Construction Cost</v>
      </c>
      <c r="K84" s="38" t="str">
        <f t="shared" si="22"/>
        <v>C CF C12 Furniture/Equipments</v>
      </c>
      <c r="L84" s="39" t="str">
        <f t="shared" si="23"/>
        <v>C CF C12-2 Borewell</v>
      </c>
      <c r="M84" s="33" t="str">
        <f t="shared" si="21"/>
        <v>C PL C Construction Cost</v>
      </c>
      <c r="N84" s="34" t="str">
        <f t="shared" si="18"/>
        <v>C PL C12 Furniture/Equipments</v>
      </c>
      <c r="O84" s="41" t="str">
        <f t="shared" si="19"/>
        <v>C PL C12-2 Borewell</v>
      </c>
    </row>
    <row r="85" spans="1:15" x14ac:dyDescent="0.2">
      <c r="A85" s="15" t="s">
        <v>374</v>
      </c>
      <c r="B85" s="15" t="s">
        <v>374</v>
      </c>
      <c r="C85" s="31" t="s">
        <v>340</v>
      </c>
      <c r="D85" s="31" t="s">
        <v>291</v>
      </c>
      <c r="E85" s="31">
        <v>12</v>
      </c>
      <c r="F85" s="31" t="s">
        <v>61</v>
      </c>
      <c r="G85" s="31">
        <v>3</v>
      </c>
      <c r="H85" s="31" t="s">
        <v>252</v>
      </c>
      <c r="I85" s="21" t="s">
        <v>60</v>
      </c>
      <c r="J85" s="37" t="str">
        <f t="shared" si="20"/>
        <v>C CF C Construction Cost</v>
      </c>
      <c r="K85" s="38" t="str">
        <f t="shared" si="22"/>
        <v>C CF C12 Furniture/Equipments</v>
      </c>
      <c r="L85" s="39" t="str">
        <f t="shared" si="23"/>
        <v>C CF C12-3 Heat Pump</v>
      </c>
      <c r="M85" s="33" t="str">
        <f t="shared" si="21"/>
        <v>C PL C Construction Cost</v>
      </c>
      <c r="N85" s="34" t="str">
        <f t="shared" si="18"/>
        <v>C PL C12 Furniture/Equipments</v>
      </c>
      <c r="O85" s="41" t="str">
        <f t="shared" si="19"/>
        <v>C PL C12-3 Heat Pump</v>
      </c>
    </row>
    <row r="86" spans="1:15" x14ac:dyDescent="0.2">
      <c r="A86" s="15" t="s">
        <v>374</v>
      </c>
      <c r="B86" s="15" t="s">
        <v>374</v>
      </c>
      <c r="C86" s="31" t="s">
        <v>340</v>
      </c>
      <c r="D86" s="31" t="s">
        <v>291</v>
      </c>
      <c r="E86" s="31">
        <v>12</v>
      </c>
      <c r="F86" s="31" t="s">
        <v>61</v>
      </c>
      <c r="G86" s="31">
        <v>4</v>
      </c>
      <c r="H86" s="31" t="s">
        <v>431</v>
      </c>
      <c r="I86" s="21" t="s">
        <v>60</v>
      </c>
      <c r="J86" s="37" t="str">
        <f t="shared" si="20"/>
        <v>C CF C Construction Cost</v>
      </c>
      <c r="K86" s="38" t="str">
        <f t="shared" si="22"/>
        <v>C CF C12 Furniture/Equipments</v>
      </c>
      <c r="L86" s="39" t="str">
        <f t="shared" si="23"/>
        <v>C CF C12-4 Sign Board</v>
      </c>
      <c r="M86" s="33" t="str">
        <f t="shared" si="21"/>
        <v>C PL C Construction Cost</v>
      </c>
      <c r="N86" s="34" t="str">
        <f t="shared" ref="N86" si="24">IF(M86=0,0,IF(ISBLANK($F86)=FALSE,CONCATENATE(,$C$2," ",$M$2," ",$C86,$E86," ",$F86),0))</f>
        <v>C PL C12 Furniture/Equipments</v>
      </c>
      <c r="O86" s="41" t="str">
        <f t="shared" ref="O86" si="25">IF(N86=0,0,IF(ISBLANK($F86)=FALSE,CONCATENATE(,$C$2," ",$M$2," ",$C86,$E86,,"-",$G86,," ",$H86),0))</f>
        <v>C PL C12-4 Sign Board</v>
      </c>
    </row>
    <row r="87" spans="1:15" x14ac:dyDescent="0.2">
      <c r="A87" s="15" t="s">
        <v>374</v>
      </c>
      <c r="B87" s="15" t="s">
        <v>374</v>
      </c>
      <c r="C87" s="31" t="s">
        <v>340</v>
      </c>
      <c r="D87" s="31" t="s">
        <v>291</v>
      </c>
      <c r="E87" s="31">
        <v>13</v>
      </c>
      <c r="F87" s="31" t="s">
        <v>251</v>
      </c>
      <c r="G87" s="31">
        <v>1</v>
      </c>
      <c r="H87" s="31" t="s">
        <v>250</v>
      </c>
      <c r="J87" s="37" t="str">
        <f t="shared" si="20"/>
        <v>C CF C Construction Cost</v>
      </c>
      <c r="K87" s="38" t="str">
        <f t="shared" si="22"/>
        <v>C CF C13 Water connection</v>
      </c>
      <c r="L87" s="39" t="str">
        <f t="shared" si="23"/>
        <v xml:space="preserve">C CF C13-1 Water connection chg </v>
      </c>
      <c r="M87" s="33" t="str">
        <f t="shared" si="21"/>
        <v>C PL C Construction Cost</v>
      </c>
      <c r="N87" s="34" t="str">
        <f t="shared" si="18"/>
        <v>C PL C13 Water connection</v>
      </c>
      <c r="O87" s="41" t="str">
        <f t="shared" si="19"/>
        <v xml:space="preserve">C PL C13-1 Water connection chg </v>
      </c>
    </row>
    <row r="88" spans="1:15" x14ac:dyDescent="0.2">
      <c r="A88" s="15" t="s">
        <v>374</v>
      </c>
      <c r="B88" s="15" t="s">
        <v>374</v>
      </c>
      <c r="C88" s="31" t="s">
        <v>340</v>
      </c>
      <c r="D88" s="31" t="s">
        <v>291</v>
      </c>
      <c r="E88" s="31">
        <v>14</v>
      </c>
      <c r="F88" s="31" t="s">
        <v>59</v>
      </c>
      <c r="G88" s="31">
        <v>1</v>
      </c>
      <c r="H88" s="31" t="s">
        <v>249</v>
      </c>
      <c r="J88" s="37" t="str">
        <f t="shared" si="20"/>
        <v>C CF C Construction Cost</v>
      </c>
      <c r="K88" s="38" t="str">
        <f t="shared" si="22"/>
        <v>C CF C14 POP</v>
      </c>
      <c r="L88" s="39" t="str">
        <f t="shared" si="23"/>
        <v xml:space="preserve">C CF C14-1 POP </v>
      </c>
      <c r="M88" s="33" t="str">
        <f t="shared" si="21"/>
        <v>C PL C Construction Cost</v>
      </c>
      <c r="N88" s="34" t="str">
        <f t="shared" si="18"/>
        <v>C PL C14 POP</v>
      </c>
      <c r="O88" s="41" t="str">
        <f t="shared" si="19"/>
        <v xml:space="preserve">C PL C14-1 POP </v>
      </c>
    </row>
    <row r="89" spans="1:15" x14ac:dyDescent="0.2">
      <c r="A89" s="15" t="s">
        <v>374</v>
      </c>
      <c r="B89" s="15" t="s">
        <v>374</v>
      </c>
      <c r="C89" s="31" t="s">
        <v>340</v>
      </c>
      <c r="D89" s="31" t="s">
        <v>291</v>
      </c>
      <c r="E89" s="31">
        <v>15</v>
      </c>
      <c r="F89" s="31" t="s">
        <v>409</v>
      </c>
      <c r="G89" s="31">
        <v>1</v>
      </c>
      <c r="H89" s="31" t="s">
        <v>410</v>
      </c>
      <c r="J89" s="37" t="str">
        <f t="shared" si="20"/>
        <v>C CF C Construction Cost</v>
      </c>
      <c r="K89" s="38" t="str">
        <f t="shared" si="22"/>
        <v>C CF C15 Exclavation</v>
      </c>
      <c r="L89" s="39" t="str">
        <f t="shared" si="23"/>
        <v>C CF C15-1 Exclavation Work</v>
      </c>
      <c r="M89" s="33" t="str">
        <f t="shared" si="21"/>
        <v>C PL C Construction Cost</v>
      </c>
      <c r="N89" s="34" t="str">
        <f t="shared" ref="N89" si="26">IF(M89=0,0,IF(ISBLANK($F89)=FALSE,CONCATENATE(,$C$2," ",$M$2," ",$C89,$E89," ",$F89),0))</f>
        <v>C PL C15 Exclavation</v>
      </c>
      <c r="O89" s="41" t="str">
        <f t="shared" ref="O89" si="27">IF(N89=0,0,IF(ISBLANK($F89)=FALSE,CONCATENATE(,$C$2," ",$M$2," ",$C89,$E89,,"-",$G89,," ",$H89),0))</f>
        <v>C PL C15-1 Exclavation Work</v>
      </c>
    </row>
    <row r="90" spans="1:15" x14ac:dyDescent="0.2">
      <c r="A90" s="15" t="s">
        <v>374</v>
      </c>
      <c r="B90" s="15" t="s">
        <v>374</v>
      </c>
      <c r="C90" s="31" t="s">
        <v>340</v>
      </c>
      <c r="D90" s="31" t="s">
        <v>291</v>
      </c>
      <c r="E90" s="31">
        <v>16</v>
      </c>
      <c r="F90" s="31" t="s">
        <v>426</v>
      </c>
      <c r="G90" s="31">
        <v>1</v>
      </c>
      <c r="H90" s="31" t="s">
        <v>425</v>
      </c>
      <c r="J90" s="37" t="str">
        <f t="shared" si="20"/>
        <v>C CF C Construction Cost</v>
      </c>
      <c r="K90" s="38" t="str">
        <f t="shared" si="22"/>
        <v>C CF C16 Finishing</v>
      </c>
      <c r="L90" s="39" t="str">
        <f t="shared" si="23"/>
        <v>C CF C16-1 Louvers Work</v>
      </c>
      <c r="M90" s="33" t="str">
        <f>IF($B90="No",0,IF(ISBLANK($D90)=FALSE,CONCATENATE(,$C$2," ",$M$2," ",$C90," ",$D90),0))</f>
        <v>C PL C Construction Cost</v>
      </c>
      <c r="N90" s="34" t="str">
        <f t="shared" ref="N90" si="28">IF(M90=0,0,IF(ISBLANK($F90)=FALSE,CONCATENATE(,$C$2," ",$M$2," ",$C90,$E90," ",$F90),0))</f>
        <v>C PL C16 Finishing</v>
      </c>
      <c r="O90" s="41" t="str">
        <f t="shared" ref="O90" si="29">IF(N90=0,0,IF(ISBLANK($F90)=FALSE,CONCATENATE(,$C$2," ",$M$2," ",$C90,$E90,,"-",$G90,," ",$H90),0))</f>
        <v>C PL C16-1 Louvers Work</v>
      </c>
    </row>
    <row r="91" spans="1:15" x14ac:dyDescent="0.2">
      <c r="A91" s="15" t="s">
        <v>374</v>
      </c>
      <c r="B91" s="15" t="s">
        <v>374</v>
      </c>
      <c r="C91" s="31" t="s">
        <v>340</v>
      </c>
      <c r="D91" s="31" t="s">
        <v>291</v>
      </c>
      <c r="E91" s="31">
        <v>17</v>
      </c>
      <c r="F91" s="31" t="s">
        <v>432</v>
      </c>
      <c r="G91" s="31">
        <v>1</v>
      </c>
      <c r="H91" s="31" t="s">
        <v>406</v>
      </c>
      <c r="J91" s="37" t="str">
        <f t="shared" si="20"/>
        <v>C CF C Construction Cost</v>
      </c>
      <c r="K91" s="38" t="str">
        <f t="shared" si="22"/>
        <v>C CF C17 Department Labour</v>
      </c>
      <c r="L91" s="39" t="str">
        <f t="shared" si="23"/>
        <v>C CF C17-1 Labour Charges</v>
      </c>
      <c r="M91" s="33" t="str">
        <f>IF($B91="No",0,IF(ISBLANK($D91)=FALSE,CONCATENATE(,$C$2," ",$M$2," ",$C91," ",$D91),0))</f>
        <v>C PL C Construction Cost</v>
      </c>
      <c r="N91" s="34" t="str">
        <f t="shared" ref="N91" si="30">IF(M91=0,0,IF(ISBLANK($F91)=FALSE,CONCATENATE(,$C$2," ",$M$2," ",$C91,$E91," ",$F91),0))</f>
        <v>C PL C17 Department Labour</v>
      </c>
      <c r="O91" s="41" t="str">
        <f t="shared" ref="O91" si="31">IF(N91=0,0,IF(ISBLANK($F91)=FALSE,CONCATENATE(,$C$2," ",$M$2," ",$C91,$E91,,"-",$G91,," ",$H91),0))</f>
        <v>C PL C17-1 Labour Charges</v>
      </c>
    </row>
    <row r="92" spans="1:15" x14ac:dyDescent="0.2">
      <c r="A92" s="15" t="s">
        <v>374</v>
      </c>
      <c r="B92" s="15" t="s">
        <v>374</v>
      </c>
      <c r="C92" s="31" t="s">
        <v>340</v>
      </c>
      <c r="D92" s="31" t="s">
        <v>291</v>
      </c>
      <c r="E92" s="31">
        <v>18</v>
      </c>
      <c r="F92" s="31" t="s">
        <v>433</v>
      </c>
      <c r="G92" s="31">
        <v>1</v>
      </c>
      <c r="H92" s="31" t="s">
        <v>434</v>
      </c>
      <c r="J92" s="37" t="str">
        <f t="shared" si="20"/>
        <v>C CF C Construction Cost</v>
      </c>
      <c r="K92" s="38" t="str">
        <f t="shared" si="22"/>
        <v>C CF C18 Railing</v>
      </c>
      <c r="L92" s="39" t="str">
        <f t="shared" si="23"/>
        <v xml:space="preserve">C CF C18-1 Railing Work </v>
      </c>
      <c r="M92" s="33" t="str">
        <f>IF($B92="No",0,IF(ISBLANK($D92)=FALSE,CONCATENATE(,$C$2," ",$M$2," ",$C92," ",$D92),0))</f>
        <v>C PL C Construction Cost</v>
      </c>
      <c r="N92" s="34" t="str">
        <f t="shared" ref="N92" si="32">IF(M92=0,0,IF(ISBLANK($F92)=FALSE,CONCATENATE(,$C$2," ",$M$2," ",$C92,$E92," ",$F92),0))</f>
        <v>C PL C18 Railing</v>
      </c>
      <c r="O92" s="41" t="str">
        <f t="shared" ref="O92" si="33">IF(N92=0,0,IF(ISBLANK($F92)=FALSE,CONCATENATE(,$C$2," ",$M$2," ",$C92,$E92,,"-",$G92,," ",$H92),0))</f>
        <v xml:space="preserve">C PL C18-1 Railing Work </v>
      </c>
    </row>
    <row r="93" spans="1:15" x14ac:dyDescent="0.2">
      <c r="A93" s="15" t="s">
        <v>374</v>
      </c>
      <c r="B93" s="15" t="s">
        <v>374</v>
      </c>
      <c r="C93" s="31" t="s">
        <v>331</v>
      </c>
      <c r="D93" s="31" t="s">
        <v>307</v>
      </c>
      <c r="E93" s="31">
        <v>1</v>
      </c>
      <c r="F93" s="31" t="s">
        <v>306</v>
      </c>
      <c r="G93" s="31">
        <v>1</v>
      </c>
      <c r="H93" s="31" t="s">
        <v>305</v>
      </c>
      <c r="I93" s="21" t="s">
        <v>304</v>
      </c>
      <c r="J93" s="37" t="str">
        <f t="shared" si="20"/>
        <v>C CF D Project Acquisition (Land &amp; Reg Exp)</v>
      </c>
      <c r="K93" s="38" t="str">
        <f t="shared" si="22"/>
        <v>C CF D1 Land Acquisition</v>
      </c>
      <c r="L93" s="39" t="str">
        <f t="shared" si="23"/>
        <v>C CF D1-1 Acquisition Deposit</v>
      </c>
      <c r="M93" s="33" t="str">
        <f t="shared" si="21"/>
        <v>C PL D Project Acquisition (Land &amp; Reg Exp)</v>
      </c>
      <c r="N93" s="34" t="str">
        <f t="shared" si="18"/>
        <v>C PL D1 Land Acquisition</v>
      </c>
      <c r="O93" s="41" t="str">
        <f t="shared" si="19"/>
        <v>C PL D1-1 Acquisition Deposit</v>
      </c>
    </row>
    <row r="94" spans="1:15" x14ac:dyDescent="0.2">
      <c r="A94" s="15" t="s">
        <v>374</v>
      </c>
      <c r="B94" s="15" t="s">
        <v>374</v>
      </c>
      <c r="C94" s="31" t="s">
        <v>331</v>
      </c>
      <c r="D94" s="31" t="s">
        <v>307</v>
      </c>
      <c r="E94" s="31">
        <v>2</v>
      </c>
      <c r="F94" s="31" t="s">
        <v>303</v>
      </c>
      <c r="G94" s="31">
        <v>2</v>
      </c>
      <c r="H94" s="31" t="s">
        <v>302</v>
      </c>
      <c r="I94" s="21" t="s">
        <v>301</v>
      </c>
      <c r="J94" s="37" t="str">
        <f t="shared" si="20"/>
        <v>C CF D Project Acquisition (Land &amp; Reg Exp)</v>
      </c>
      <c r="K94" s="38" t="str">
        <f t="shared" si="22"/>
        <v>C CF D2 Brokerage</v>
      </c>
      <c r="L94" s="39" t="str">
        <f t="shared" si="23"/>
        <v>C CF D2-2 Land Broker Fee</v>
      </c>
      <c r="M94" s="33" t="str">
        <f t="shared" si="21"/>
        <v>C PL D Project Acquisition (Land &amp; Reg Exp)</v>
      </c>
      <c r="N94" s="34" t="str">
        <f t="shared" si="18"/>
        <v>C PL D2 Brokerage</v>
      </c>
      <c r="O94" s="41" t="str">
        <f t="shared" si="19"/>
        <v>C PL D2-2 Land Broker Fee</v>
      </c>
    </row>
    <row r="95" spans="1:15" x14ac:dyDescent="0.2">
      <c r="A95" s="15" t="s">
        <v>374</v>
      </c>
      <c r="B95" s="15" t="s">
        <v>374</v>
      </c>
      <c r="C95" s="31" t="s">
        <v>331</v>
      </c>
      <c r="D95" s="31" t="s">
        <v>307</v>
      </c>
      <c r="E95" s="31">
        <v>3</v>
      </c>
      <c r="F95" s="31" t="s">
        <v>300</v>
      </c>
      <c r="G95" s="31">
        <v>3</v>
      </c>
      <c r="H95" s="31" t="s">
        <v>300</v>
      </c>
      <c r="I95" s="21" t="s">
        <v>299</v>
      </c>
      <c r="J95" s="37" t="str">
        <f t="shared" si="20"/>
        <v>C CF D Project Acquisition (Land &amp; Reg Exp)</v>
      </c>
      <c r="K95" s="38" t="str">
        <f t="shared" si="22"/>
        <v>C CF D3 Stamp Duty</v>
      </c>
      <c r="L95" s="39" t="str">
        <f t="shared" si="23"/>
        <v>C CF D3-3 Stamp Duty</v>
      </c>
      <c r="M95" s="33" t="str">
        <f t="shared" si="21"/>
        <v>C PL D Project Acquisition (Land &amp; Reg Exp)</v>
      </c>
      <c r="N95" s="34" t="str">
        <f t="shared" ref="N95" si="34">IF(M95=0,0,IF(ISBLANK($F95)=FALSE,CONCATENATE(,$C$2," ",$M$2," ",$C95,$E95," ",$F95),0))</f>
        <v>C PL D3 Stamp Duty</v>
      </c>
      <c r="O95" s="41" t="str">
        <f t="shared" ref="O95" si="35">IF(N95=0,0,IF(ISBLANK($F95)=FALSE,CONCATENATE(,$C$2," ",$M$2," ",$C95,$E95,,"-",$G95,," ",$H95),0))</f>
        <v>C PL D3-3 Stamp Duty</v>
      </c>
    </row>
    <row r="96" spans="1:15" x14ac:dyDescent="0.2">
      <c r="A96" s="15" t="s">
        <v>374</v>
      </c>
      <c r="B96" s="15" t="s">
        <v>374</v>
      </c>
      <c r="C96" s="31" t="s">
        <v>331</v>
      </c>
      <c r="D96" s="31" t="s">
        <v>307</v>
      </c>
      <c r="E96" s="31">
        <v>4</v>
      </c>
      <c r="F96" s="31" t="s">
        <v>298</v>
      </c>
      <c r="G96" s="31">
        <v>4</v>
      </c>
      <c r="H96" s="31" t="s">
        <v>297</v>
      </c>
      <c r="I96" s="21" t="s">
        <v>296</v>
      </c>
      <c r="J96" s="37" t="str">
        <f t="shared" si="20"/>
        <v>C CF D Project Acquisition (Land &amp; Reg Exp)</v>
      </c>
      <c r="K96" s="38" t="str">
        <f t="shared" si="22"/>
        <v>C CF D4 Registration</v>
      </c>
      <c r="L96" s="39" t="str">
        <f t="shared" si="23"/>
        <v>C CF D4-4 Registration Fees</v>
      </c>
      <c r="M96" s="33" t="str">
        <f t="shared" si="21"/>
        <v>C PL D Project Acquisition (Land &amp; Reg Exp)</v>
      </c>
      <c r="N96" s="34" t="str">
        <f t="shared" ref="N96:N98" si="36">IF(M96=0,0,IF(ISBLANK($F96)=FALSE,CONCATENATE(,$C$2," ",$M$2," ",$C96,$E96," ",$F96),0))</f>
        <v>C PL D4 Registration</v>
      </c>
      <c r="O96" s="41" t="str">
        <f t="shared" ref="O96:O98" si="37">IF(N96=0,0,IF(ISBLANK($F96)=FALSE,CONCATENATE(,$C$2," ",$M$2," ",$C96,$E96,,"-",$G96,," ",$H96),0))</f>
        <v>C PL D4-4 Registration Fees</v>
      </c>
    </row>
    <row r="97" spans="1:16" x14ac:dyDescent="0.2">
      <c r="A97" s="15" t="s">
        <v>374</v>
      </c>
      <c r="B97" s="15" t="s">
        <v>374</v>
      </c>
      <c r="C97" s="31" t="s">
        <v>331</v>
      </c>
      <c r="D97" s="31" t="s">
        <v>307</v>
      </c>
      <c r="E97" s="31">
        <v>5</v>
      </c>
      <c r="F97" s="31" t="s">
        <v>295</v>
      </c>
      <c r="G97" s="31">
        <v>5</v>
      </c>
      <c r="H97" s="31" t="s">
        <v>294</v>
      </c>
      <c r="I97" s="21" t="s">
        <v>293</v>
      </c>
      <c r="J97" s="37" t="str">
        <f t="shared" si="20"/>
        <v>C CF D Project Acquisition (Land &amp; Reg Exp)</v>
      </c>
      <c r="K97" s="38" t="str">
        <f t="shared" si="22"/>
        <v>C CF D5 Legal</v>
      </c>
      <c r="L97" s="39" t="str">
        <f t="shared" si="23"/>
        <v>C CF D5-5 Legal Due Diligence</v>
      </c>
      <c r="M97" s="33" t="str">
        <f t="shared" si="21"/>
        <v>C PL D Project Acquisition (Land &amp; Reg Exp)</v>
      </c>
      <c r="N97" s="34" t="str">
        <f t="shared" si="36"/>
        <v>C PL D5 Legal</v>
      </c>
      <c r="O97" s="41" t="str">
        <f t="shared" si="37"/>
        <v>C PL D5-5 Legal Due Diligence</v>
      </c>
    </row>
    <row r="98" spans="1:16" x14ac:dyDescent="0.2">
      <c r="A98" s="15" t="s">
        <v>374</v>
      </c>
      <c r="B98" s="15" t="s">
        <v>374</v>
      </c>
      <c r="C98" s="31" t="s">
        <v>320</v>
      </c>
      <c r="D98" s="31" t="s">
        <v>57</v>
      </c>
      <c r="E98" s="31">
        <v>1</v>
      </c>
      <c r="F98" s="31" t="s">
        <v>56</v>
      </c>
      <c r="G98" s="31">
        <v>1</v>
      </c>
      <c r="H98" s="31" t="s">
        <v>55</v>
      </c>
      <c r="J98" s="37" t="str">
        <f t="shared" si="20"/>
        <v>C CF F Regulatory &amp; Consulting</v>
      </c>
      <c r="K98" s="38" t="str">
        <f t="shared" si="22"/>
        <v>C CF F1 Consultants</v>
      </c>
      <c r="L98" s="39" t="str">
        <f t="shared" si="23"/>
        <v>C CF F1-1 Architect</v>
      </c>
      <c r="M98" s="33" t="str">
        <f t="shared" si="21"/>
        <v>C PL F Regulatory &amp; Consulting</v>
      </c>
      <c r="N98" s="34" t="str">
        <f t="shared" si="36"/>
        <v>C PL F1 Consultants</v>
      </c>
      <c r="O98" s="41" t="str">
        <f t="shared" si="37"/>
        <v>C PL F1-1 Architect</v>
      </c>
    </row>
    <row r="99" spans="1:16" x14ac:dyDescent="0.2">
      <c r="A99" s="15" t="s">
        <v>374</v>
      </c>
      <c r="B99" s="15" t="s">
        <v>374</v>
      </c>
      <c r="C99" s="31" t="s">
        <v>320</v>
      </c>
      <c r="D99" s="31" t="s">
        <v>57</v>
      </c>
      <c r="E99" s="31">
        <v>1</v>
      </c>
      <c r="F99" s="31" t="s">
        <v>56</v>
      </c>
      <c r="G99" s="31">
        <f>+G98+1</f>
        <v>2</v>
      </c>
      <c r="H99" s="31" t="s">
        <v>54</v>
      </c>
      <c r="J99" s="37" t="str">
        <f t="shared" si="20"/>
        <v>C CF F Regulatory &amp; Consulting</v>
      </c>
      <c r="K99" s="38" t="str">
        <f t="shared" si="22"/>
        <v>C CF F1 Consultants</v>
      </c>
      <c r="L99" s="39" t="str">
        <f t="shared" si="23"/>
        <v>C CF F1-2 MEP Consultant</v>
      </c>
      <c r="M99" s="33" t="str">
        <f t="shared" si="21"/>
        <v>C PL F Regulatory &amp; Consulting</v>
      </c>
      <c r="N99" s="34" t="str">
        <f t="shared" ref="N99:N122" si="38">IF(M99=0,0,IF(ISBLANK($F99)=FALSE,CONCATENATE(,$C$2," ",$M$2," ",$C99,$E99," ",$F99),0))</f>
        <v>C PL F1 Consultants</v>
      </c>
      <c r="O99" s="41" t="str">
        <f t="shared" ref="O99:O122" si="39">IF(N99=0,0,IF(ISBLANK($F99)=FALSE,CONCATENATE(,$C$2," ",$M$2," ",$C99,$E99,,"-",$G99,," ",$H99),0))</f>
        <v>C PL F1-2 MEP Consultant</v>
      </c>
    </row>
    <row r="100" spans="1:16" x14ac:dyDescent="0.2">
      <c r="A100" s="15" t="s">
        <v>374</v>
      </c>
      <c r="B100" s="15" t="s">
        <v>374</v>
      </c>
      <c r="C100" s="31" t="s">
        <v>320</v>
      </c>
      <c r="D100" s="31" t="s">
        <v>57</v>
      </c>
      <c r="E100" s="31">
        <v>1</v>
      </c>
      <c r="F100" s="31" t="s">
        <v>56</v>
      </c>
      <c r="G100" s="31">
        <f t="shared" ref="G100:G107" si="40">+G99+1</f>
        <v>3</v>
      </c>
      <c r="H100" s="31" t="s">
        <v>53</v>
      </c>
      <c r="J100" s="37" t="str">
        <f t="shared" si="20"/>
        <v>C CF F Regulatory &amp; Consulting</v>
      </c>
      <c r="K100" s="38" t="str">
        <f t="shared" si="22"/>
        <v>C CF F1 Consultants</v>
      </c>
      <c r="L100" s="39" t="str">
        <f t="shared" si="23"/>
        <v>C CF F1-3 MIDC Consustant</v>
      </c>
      <c r="M100" s="33" t="str">
        <f t="shared" si="21"/>
        <v>C PL F Regulatory &amp; Consulting</v>
      </c>
      <c r="N100" s="34" t="str">
        <f t="shared" si="38"/>
        <v>C PL F1 Consultants</v>
      </c>
      <c r="O100" s="41" t="str">
        <f t="shared" si="39"/>
        <v>C PL F1-3 MIDC Consustant</v>
      </c>
    </row>
    <row r="101" spans="1:16" x14ac:dyDescent="0.2">
      <c r="A101" s="15" t="s">
        <v>374</v>
      </c>
      <c r="B101" s="15" t="s">
        <v>374</v>
      </c>
      <c r="C101" s="31" t="s">
        <v>320</v>
      </c>
      <c r="D101" s="31" t="s">
        <v>57</v>
      </c>
      <c r="E101" s="31">
        <v>1</v>
      </c>
      <c r="F101" s="31" t="s">
        <v>56</v>
      </c>
      <c r="G101" s="31">
        <f t="shared" si="40"/>
        <v>4</v>
      </c>
      <c r="H101" s="31" t="s">
        <v>52</v>
      </c>
      <c r="J101" s="37" t="str">
        <f t="shared" si="20"/>
        <v>C CF F Regulatory &amp; Consulting</v>
      </c>
      <c r="K101" s="38" t="str">
        <f t="shared" si="22"/>
        <v>C CF F1 Consultants</v>
      </c>
      <c r="L101" s="39" t="str">
        <f t="shared" si="23"/>
        <v>C CF F1-4 RCC Consultant</v>
      </c>
      <c r="M101" s="33" t="str">
        <f t="shared" si="21"/>
        <v>C PL F Regulatory &amp; Consulting</v>
      </c>
      <c r="N101" s="34" t="str">
        <f t="shared" si="38"/>
        <v>C PL F1 Consultants</v>
      </c>
      <c r="O101" s="41" t="str">
        <f t="shared" si="39"/>
        <v>C PL F1-4 RCC Consultant</v>
      </c>
    </row>
    <row r="102" spans="1:16" x14ac:dyDescent="0.2">
      <c r="A102" s="15" t="s">
        <v>374</v>
      </c>
      <c r="B102" s="15" t="s">
        <v>374</v>
      </c>
      <c r="C102" s="31" t="s">
        <v>320</v>
      </c>
      <c r="D102" s="31" t="s">
        <v>57</v>
      </c>
      <c r="E102" s="31">
        <v>1</v>
      </c>
      <c r="F102" s="31" t="s">
        <v>56</v>
      </c>
      <c r="G102" s="31">
        <f t="shared" si="40"/>
        <v>5</v>
      </c>
      <c r="H102" s="31" t="s">
        <v>51</v>
      </c>
      <c r="J102" s="37" t="str">
        <f t="shared" si="20"/>
        <v>C CF F Regulatory &amp; Consulting</v>
      </c>
      <c r="K102" s="38" t="str">
        <f t="shared" si="22"/>
        <v>C CF F1 Consultants</v>
      </c>
      <c r="L102" s="39" t="str">
        <f t="shared" si="23"/>
        <v>C CF F1-5 EC Consultant</v>
      </c>
      <c r="M102" s="33" t="str">
        <f t="shared" si="21"/>
        <v>C PL F Regulatory &amp; Consulting</v>
      </c>
      <c r="N102" s="34" t="str">
        <f t="shared" si="38"/>
        <v>C PL F1 Consultants</v>
      </c>
      <c r="O102" s="41" t="str">
        <f t="shared" si="39"/>
        <v>C PL F1-5 EC Consultant</v>
      </c>
    </row>
    <row r="103" spans="1:16" x14ac:dyDescent="0.2">
      <c r="A103" s="15" t="s">
        <v>374</v>
      </c>
      <c r="B103" s="15" t="s">
        <v>374</v>
      </c>
      <c r="C103" s="31" t="s">
        <v>320</v>
      </c>
      <c r="D103" s="31" t="s">
        <v>57</v>
      </c>
      <c r="E103" s="31">
        <v>1</v>
      </c>
      <c r="F103" s="31" t="s">
        <v>56</v>
      </c>
      <c r="G103" s="31">
        <f t="shared" si="40"/>
        <v>6</v>
      </c>
      <c r="H103" s="31" t="s">
        <v>50</v>
      </c>
      <c r="J103" s="37" t="str">
        <f t="shared" si="20"/>
        <v>C CF F Regulatory &amp; Consulting</v>
      </c>
      <c r="K103" s="38" t="str">
        <f t="shared" si="22"/>
        <v>C CF F1 Consultants</v>
      </c>
      <c r="L103" s="39" t="str">
        <f t="shared" si="23"/>
        <v>C CF F1-6 Land Broker</v>
      </c>
      <c r="M103" s="33" t="str">
        <f t="shared" si="21"/>
        <v>C PL F Regulatory &amp; Consulting</v>
      </c>
      <c r="N103" s="34" t="str">
        <f t="shared" si="38"/>
        <v>C PL F1 Consultants</v>
      </c>
      <c r="O103" s="41" t="str">
        <f t="shared" si="39"/>
        <v>C PL F1-6 Land Broker</v>
      </c>
    </row>
    <row r="104" spans="1:16" x14ac:dyDescent="0.2">
      <c r="A104" s="15" t="s">
        <v>374</v>
      </c>
      <c r="B104" s="15" t="s">
        <v>374</v>
      </c>
      <c r="C104" s="31" t="s">
        <v>320</v>
      </c>
      <c r="D104" s="31" t="s">
        <v>57</v>
      </c>
      <c r="E104" s="31">
        <v>1</v>
      </c>
      <c r="F104" s="31" t="s">
        <v>56</v>
      </c>
      <c r="G104" s="31">
        <f t="shared" si="40"/>
        <v>7</v>
      </c>
      <c r="H104" s="31" t="s">
        <v>49</v>
      </c>
      <c r="J104" s="37" t="str">
        <f t="shared" si="20"/>
        <v>C CF F Regulatory &amp; Consulting</v>
      </c>
      <c r="K104" s="38" t="str">
        <f t="shared" si="22"/>
        <v>C CF F1 Consultants</v>
      </c>
      <c r="L104" s="39" t="str">
        <f t="shared" si="23"/>
        <v>C CF F1-7 Landscape Consultant</v>
      </c>
      <c r="M104" s="33" t="str">
        <f t="shared" si="21"/>
        <v>C PL F Regulatory &amp; Consulting</v>
      </c>
      <c r="N104" s="34" t="str">
        <f t="shared" si="38"/>
        <v>C PL F1 Consultants</v>
      </c>
      <c r="O104" s="41" t="str">
        <f t="shared" si="39"/>
        <v>C PL F1-7 Landscape Consultant</v>
      </c>
    </row>
    <row r="105" spans="1:16" x14ac:dyDescent="0.2">
      <c r="A105" s="15" t="s">
        <v>374</v>
      </c>
      <c r="B105" s="15" t="s">
        <v>374</v>
      </c>
      <c r="C105" s="31" t="s">
        <v>320</v>
      </c>
      <c r="D105" s="31" t="s">
        <v>57</v>
      </c>
      <c r="E105" s="31">
        <v>1</v>
      </c>
      <c r="F105" s="31" t="s">
        <v>56</v>
      </c>
      <c r="G105" s="31">
        <f t="shared" si="40"/>
        <v>8</v>
      </c>
      <c r="H105" s="31" t="s">
        <v>48</v>
      </c>
      <c r="J105" s="37" t="str">
        <f t="shared" si="20"/>
        <v>C CF F Regulatory &amp; Consulting</v>
      </c>
      <c r="K105" s="38" t="str">
        <f t="shared" si="22"/>
        <v>C CF F1 Consultants</v>
      </c>
      <c r="L105" s="39" t="str">
        <f t="shared" si="23"/>
        <v>C CF F1-8 Structural Consultant</v>
      </c>
      <c r="M105" s="33" t="str">
        <f t="shared" si="21"/>
        <v>C PL F Regulatory &amp; Consulting</v>
      </c>
      <c r="N105" s="34" t="str">
        <f t="shared" si="38"/>
        <v>C PL F1 Consultants</v>
      </c>
      <c r="O105" s="41" t="str">
        <f t="shared" si="39"/>
        <v>C PL F1-8 Structural Consultant</v>
      </c>
    </row>
    <row r="106" spans="1:16" x14ac:dyDescent="0.2">
      <c r="A106" s="15" t="s">
        <v>374</v>
      </c>
      <c r="B106" s="15" t="s">
        <v>374</v>
      </c>
      <c r="C106" s="31" t="s">
        <v>320</v>
      </c>
      <c r="D106" s="31" t="s">
        <v>57</v>
      </c>
      <c r="E106" s="31">
        <v>1</v>
      </c>
      <c r="F106" s="31" t="s">
        <v>56</v>
      </c>
      <c r="G106" s="31">
        <f t="shared" si="40"/>
        <v>9</v>
      </c>
      <c r="H106" s="31" t="s">
        <v>47</v>
      </c>
      <c r="J106" s="37" t="str">
        <f t="shared" si="20"/>
        <v>C CF F Regulatory &amp; Consulting</v>
      </c>
      <c r="K106" s="38" t="str">
        <f t="shared" si="22"/>
        <v>C CF F1 Consultants</v>
      </c>
      <c r="L106" s="39" t="str">
        <f t="shared" si="23"/>
        <v>C CF F1-9 Legal Consultant</v>
      </c>
      <c r="M106" s="33" t="str">
        <f t="shared" si="21"/>
        <v>C PL F Regulatory &amp; Consulting</v>
      </c>
      <c r="N106" s="34" t="str">
        <f t="shared" si="38"/>
        <v>C PL F1 Consultants</v>
      </c>
      <c r="O106" s="41" t="str">
        <f t="shared" si="39"/>
        <v>C PL F1-9 Legal Consultant</v>
      </c>
    </row>
    <row r="107" spans="1:16" x14ac:dyDescent="0.2">
      <c r="A107" s="15" t="s">
        <v>374</v>
      </c>
      <c r="B107" s="15" t="s">
        <v>374</v>
      </c>
      <c r="C107" s="31" t="s">
        <v>320</v>
      </c>
      <c r="D107" s="31" t="s">
        <v>57</v>
      </c>
      <c r="E107" s="31">
        <v>1</v>
      </c>
      <c r="F107" s="31" t="s">
        <v>56</v>
      </c>
      <c r="G107" s="31">
        <f t="shared" si="40"/>
        <v>10</v>
      </c>
      <c r="H107" s="31" t="s">
        <v>46</v>
      </c>
      <c r="J107" s="37" t="str">
        <f t="shared" si="20"/>
        <v>C CF F Regulatory &amp; Consulting</v>
      </c>
      <c r="K107" s="38" t="str">
        <f t="shared" si="22"/>
        <v>C CF F1 Consultants</v>
      </c>
      <c r="L107" s="39" t="str">
        <f t="shared" si="23"/>
        <v>C CF F1-10 Survayer</v>
      </c>
      <c r="M107" s="33" t="str">
        <f t="shared" si="21"/>
        <v>C PL F Regulatory &amp; Consulting</v>
      </c>
      <c r="N107" s="34" t="str">
        <f t="shared" si="38"/>
        <v>C PL F1 Consultants</v>
      </c>
      <c r="O107" s="41" t="str">
        <f t="shared" si="39"/>
        <v>C PL F1-10 Survayer</v>
      </c>
    </row>
    <row r="108" spans="1:16" x14ac:dyDescent="0.2">
      <c r="A108" s="15" t="s">
        <v>374</v>
      </c>
      <c r="B108" s="15" t="s">
        <v>374</v>
      </c>
      <c r="C108" s="31" t="s">
        <v>320</v>
      </c>
      <c r="D108" s="31" t="s">
        <v>57</v>
      </c>
      <c r="E108" s="31">
        <v>2</v>
      </c>
      <c r="F108" s="31" t="s">
        <v>45</v>
      </c>
      <c r="G108" s="31">
        <v>1</v>
      </c>
      <c r="H108" s="31" t="s">
        <v>44</v>
      </c>
      <c r="J108" s="37" t="str">
        <f t="shared" si="20"/>
        <v>C CF F Regulatory &amp; Consulting</v>
      </c>
      <c r="K108" s="38" t="str">
        <f t="shared" si="22"/>
        <v>C CF F2 NOC</v>
      </c>
      <c r="L108" s="39" t="str">
        <f t="shared" si="23"/>
        <v>C CF F2-1 MIDC NAME TRANSFER CHALLAN</v>
      </c>
      <c r="M108" s="33" t="str">
        <f t="shared" si="21"/>
        <v>C PL F Regulatory &amp; Consulting</v>
      </c>
      <c r="N108" s="34" t="str">
        <f t="shared" si="38"/>
        <v>C PL F2 NOC</v>
      </c>
      <c r="O108" s="41" t="str">
        <f t="shared" si="39"/>
        <v>C PL F2-1 MIDC NAME TRANSFER CHALLAN</v>
      </c>
      <c r="P108" s="49"/>
    </row>
    <row r="109" spans="1:16" x14ac:dyDescent="0.2">
      <c r="A109" s="15" t="s">
        <v>374</v>
      </c>
      <c r="B109" s="15" t="s">
        <v>374</v>
      </c>
      <c r="C109" s="31" t="s">
        <v>320</v>
      </c>
      <c r="D109" s="31" t="s">
        <v>57</v>
      </c>
      <c r="E109" s="31">
        <v>2</v>
      </c>
      <c r="F109" s="31" t="s">
        <v>45</v>
      </c>
      <c r="G109" s="31">
        <f>+G108+1</f>
        <v>2</v>
      </c>
      <c r="H109" s="31" t="s">
        <v>43</v>
      </c>
      <c r="J109" s="37" t="str">
        <f t="shared" si="20"/>
        <v>C CF F Regulatory &amp; Consulting</v>
      </c>
      <c r="K109" s="38" t="str">
        <f t="shared" si="22"/>
        <v>C CF F2 NOC</v>
      </c>
      <c r="L109" s="39" t="str">
        <f t="shared" si="23"/>
        <v>C CF F2-2 MIDC IOD</v>
      </c>
      <c r="M109" s="33" t="str">
        <f t="shared" si="21"/>
        <v>C PL F Regulatory &amp; Consulting</v>
      </c>
      <c r="N109" s="34" t="str">
        <f t="shared" si="38"/>
        <v>C PL F2 NOC</v>
      </c>
      <c r="O109" s="41" t="str">
        <f t="shared" si="39"/>
        <v>C PL F2-2 MIDC IOD</v>
      </c>
      <c r="P109" s="49"/>
    </row>
    <row r="110" spans="1:16" x14ac:dyDescent="0.2">
      <c r="A110" s="15" t="s">
        <v>374</v>
      </c>
      <c r="B110" s="15" t="s">
        <v>374</v>
      </c>
      <c r="C110" s="31" t="s">
        <v>320</v>
      </c>
      <c r="D110" s="31" t="s">
        <v>57</v>
      </c>
      <c r="E110" s="31">
        <v>2</v>
      </c>
      <c r="F110" s="31" t="s">
        <v>45</v>
      </c>
      <c r="G110" s="31">
        <f t="shared" ref="G110:G122" si="41">+G109+1</f>
        <v>3</v>
      </c>
      <c r="H110" s="31" t="s">
        <v>42</v>
      </c>
      <c r="J110" s="37" t="str">
        <f t="shared" si="20"/>
        <v>C CF F Regulatory &amp; Consulting</v>
      </c>
      <c r="K110" s="38" t="str">
        <f t="shared" si="22"/>
        <v>C CF F2 NOC</v>
      </c>
      <c r="L110" s="39" t="str">
        <f t="shared" si="23"/>
        <v>C CF F2-3 MIDC plan sanction</v>
      </c>
      <c r="M110" s="33" t="str">
        <f t="shared" si="21"/>
        <v>C PL F Regulatory &amp; Consulting</v>
      </c>
      <c r="N110" s="34" t="str">
        <f t="shared" si="38"/>
        <v>C PL F2 NOC</v>
      </c>
      <c r="O110" s="41" t="str">
        <f t="shared" si="39"/>
        <v>C PL F2-3 MIDC plan sanction</v>
      </c>
      <c r="P110" s="49"/>
    </row>
    <row r="111" spans="1:16" x14ac:dyDescent="0.2">
      <c r="A111" s="15" t="s">
        <v>374</v>
      </c>
      <c r="B111" s="15" t="s">
        <v>374</v>
      </c>
      <c r="C111" s="31" t="s">
        <v>320</v>
      </c>
      <c r="D111" s="31" t="s">
        <v>57</v>
      </c>
      <c r="E111" s="31">
        <v>2</v>
      </c>
      <c r="F111" s="31" t="s">
        <v>45</v>
      </c>
      <c r="G111" s="31">
        <f t="shared" si="41"/>
        <v>4</v>
      </c>
      <c r="H111" s="31" t="s">
        <v>41</v>
      </c>
      <c r="J111" s="37" t="str">
        <f t="shared" si="20"/>
        <v>C CF F Regulatory &amp; Consulting</v>
      </c>
      <c r="K111" s="38" t="str">
        <f t="shared" si="22"/>
        <v>C CF F2 NOC</v>
      </c>
      <c r="L111" s="39" t="str">
        <f t="shared" si="23"/>
        <v xml:space="preserve">C CF F2-4 EC Clerance </v>
      </c>
      <c r="M111" s="33" t="str">
        <f t="shared" si="21"/>
        <v>C PL F Regulatory &amp; Consulting</v>
      </c>
      <c r="N111" s="34" t="str">
        <f t="shared" si="38"/>
        <v>C PL F2 NOC</v>
      </c>
      <c r="O111" s="41" t="str">
        <f t="shared" si="39"/>
        <v xml:space="preserve">C PL F2-4 EC Clerance </v>
      </c>
      <c r="P111" s="49"/>
    </row>
    <row r="112" spans="1:16" x14ac:dyDescent="0.2">
      <c r="A112" s="15" t="s">
        <v>374</v>
      </c>
      <c r="B112" s="15" t="s">
        <v>374</v>
      </c>
      <c r="C112" s="31" t="s">
        <v>320</v>
      </c>
      <c r="D112" s="31" t="s">
        <v>57</v>
      </c>
      <c r="E112" s="31">
        <v>2</v>
      </c>
      <c r="F112" s="31" t="s">
        <v>45</v>
      </c>
      <c r="G112" s="31">
        <f t="shared" si="41"/>
        <v>5</v>
      </c>
      <c r="H112" s="31" t="s">
        <v>40</v>
      </c>
      <c r="J112" s="37" t="str">
        <f t="shared" si="20"/>
        <v>C CF F Regulatory &amp; Consulting</v>
      </c>
      <c r="K112" s="38" t="str">
        <f t="shared" si="22"/>
        <v>C CF F2 NOC</v>
      </c>
      <c r="L112" s="39" t="str">
        <f t="shared" si="23"/>
        <v>C CF F2-5 Swacch NOC/agreement</v>
      </c>
      <c r="M112" s="33" t="str">
        <f t="shared" si="21"/>
        <v>C PL F Regulatory &amp; Consulting</v>
      </c>
      <c r="N112" s="34" t="str">
        <f t="shared" si="38"/>
        <v>C PL F2 NOC</v>
      </c>
      <c r="O112" s="41" t="str">
        <f t="shared" si="39"/>
        <v>C PL F2-5 Swacch NOC/agreement</v>
      </c>
      <c r="P112" s="49"/>
    </row>
    <row r="113" spans="1:16" x14ac:dyDescent="0.2">
      <c r="A113" s="15" t="s">
        <v>374</v>
      </c>
      <c r="B113" s="15" t="s">
        <v>374</v>
      </c>
      <c r="C113" s="31" t="s">
        <v>320</v>
      </c>
      <c r="D113" s="31" t="s">
        <v>57</v>
      </c>
      <c r="E113" s="31">
        <v>2</v>
      </c>
      <c r="F113" s="31" t="s">
        <v>45</v>
      </c>
      <c r="G113" s="31">
        <f t="shared" si="41"/>
        <v>6</v>
      </c>
      <c r="H113" s="31" t="s">
        <v>39</v>
      </c>
      <c r="J113" s="37" t="str">
        <f t="shared" si="20"/>
        <v>C CF F Regulatory &amp; Consulting</v>
      </c>
      <c r="K113" s="38" t="str">
        <f t="shared" si="22"/>
        <v>C CF F2 NOC</v>
      </c>
      <c r="L113" s="39" t="str">
        <f t="shared" si="23"/>
        <v>C CF F2-6 Fire NOC</v>
      </c>
      <c r="M113" s="33" t="str">
        <f t="shared" si="21"/>
        <v>C PL F Regulatory &amp; Consulting</v>
      </c>
      <c r="N113" s="34" t="str">
        <f t="shared" si="38"/>
        <v>C PL F2 NOC</v>
      </c>
      <c r="O113" s="41" t="str">
        <f t="shared" si="39"/>
        <v>C PL F2-6 Fire NOC</v>
      </c>
      <c r="P113" s="49"/>
    </row>
    <row r="114" spans="1:16" x14ac:dyDescent="0.2">
      <c r="A114" s="15" t="s">
        <v>374</v>
      </c>
      <c r="B114" s="15" t="s">
        <v>374</v>
      </c>
      <c r="C114" s="31" t="s">
        <v>320</v>
      </c>
      <c r="D114" s="31" t="s">
        <v>57</v>
      </c>
      <c r="E114" s="31">
        <v>2</v>
      </c>
      <c r="F114" s="31" t="s">
        <v>45</v>
      </c>
      <c r="G114" s="31">
        <f t="shared" si="41"/>
        <v>7</v>
      </c>
      <c r="H114" s="31" t="s">
        <v>38</v>
      </c>
      <c r="J114" s="37" t="str">
        <f t="shared" si="20"/>
        <v>C CF F Regulatory &amp; Consulting</v>
      </c>
      <c r="K114" s="38" t="str">
        <f t="shared" si="22"/>
        <v>C CF F2 NOC</v>
      </c>
      <c r="L114" s="39" t="str">
        <f t="shared" si="23"/>
        <v>C CF F2-7 Garden NOC</v>
      </c>
      <c r="M114" s="33" t="str">
        <f t="shared" si="21"/>
        <v>C PL F Regulatory &amp; Consulting</v>
      </c>
      <c r="N114" s="34" t="str">
        <f t="shared" si="38"/>
        <v>C PL F2 NOC</v>
      </c>
      <c r="O114" s="41" t="str">
        <f t="shared" si="39"/>
        <v>C PL F2-7 Garden NOC</v>
      </c>
      <c r="P114" s="49"/>
    </row>
    <row r="115" spans="1:16" x14ac:dyDescent="0.2">
      <c r="A115" s="15" t="s">
        <v>374</v>
      </c>
      <c r="B115" s="15" t="s">
        <v>374</v>
      </c>
      <c r="C115" s="31" t="s">
        <v>320</v>
      </c>
      <c r="D115" s="31" t="s">
        <v>57</v>
      </c>
      <c r="E115" s="31">
        <v>2</v>
      </c>
      <c r="F115" s="31" t="s">
        <v>45</v>
      </c>
      <c r="G115" s="31">
        <f t="shared" si="41"/>
        <v>8</v>
      </c>
      <c r="H115" s="31" t="s">
        <v>37</v>
      </c>
      <c r="J115" s="37" t="str">
        <f t="shared" si="20"/>
        <v>C CF F Regulatory &amp; Consulting</v>
      </c>
      <c r="K115" s="38" t="str">
        <f t="shared" si="22"/>
        <v>C CF F2 NOC</v>
      </c>
      <c r="L115" s="39" t="str">
        <f t="shared" si="23"/>
        <v>C CF F2-8 Drainage NOC</v>
      </c>
      <c r="M115" s="33" t="str">
        <f t="shared" si="21"/>
        <v>C PL F Regulatory &amp; Consulting</v>
      </c>
      <c r="N115" s="34" t="str">
        <f t="shared" si="38"/>
        <v>C PL F2 NOC</v>
      </c>
      <c r="O115" s="41" t="str">
        <f t="shared" si="39"/>
        <v>C PL F2-8 Drainage NOC</v>
      </c>
      <c r="P115" s="49"/>
    </row>
    <row r="116" spans="1:16" x14ac:dyDescent="0.2">
      <c r="A116" s="15" t="s">
        <v>374</v>
      </c>
      <c r="B116" s="15" t="s">
        <v>374</v>
      </c>
      <c r="C116" s="31" t="s">
        <v>320</v>
      </c>
      <c r="D116" s="31" t="s">
        <v>57</v>
      </c>
      <c r="E116" s="31">
        <v>2</v>
      </c>
      <c r="F116" s="31" t="s">
        <v>45</v>
      </c>
      <c r="G116" s="31">
        <f t="shared" si="41"/>
        <v>9</v>
      </c>
      <c r="H116" s="31" t="s">
        <v>36</v>
      </c>
      <c r="J116" s="37" t="str">
        <f t="shared" si="20"/>
        <v>C CF F Regulatory &amp; Consulting</v>
      </c>
      <c r="K116" s="38" t="str">
        <f t="shared" si="22"/>
        <v>C CF F2 NOC</v>
      </c>
      <c r="L116" s="39" t="str">
        <f t="shared" si="23"/>
        <v>C CF F2-9 Water NOC</v>
      </c>
      <c r="M116" s="33" t="str">
        <f t="shared" si="21"/>
        <v>C PL F Regulatory &amp; Consulting</v>
      </c>
      <c r="N116" s="34" t="str">
        <f t="shared" si="38"/>
        <v>C PL F2 NOC</v>
      </c>
      <c r="O116" s="41" t="str">
        <f t="shared" si="39"/>
        <v>C PL F2-9 Water NOC</v>
      </c>
      <c r="P116" s="49"/>
    </row>
    <row r="117" spans="1:16" x14ac:dyDescent="0.2">
      <c r="A117" s="15" t="s">
        <v>374</v>
      </c>
      <c r="B117" s="15" t="s">
        <v>374</v>
      </c>
      <c r="C117" s="31" t="s">
        <v>320</v>
      </c>
      <c r="D117" s="31" t="s">
        <v>57</v>
      </c>
      <c r="E117" s="31">
        <v>2</v>
      </c>
      <c r="F117" s="31" t="s">
        <v>45</v>
      </c>
      <c r="G117" s="31">
        <f t="shared" si="41"/>
        <v>10</v>
      </c>
      <c r="H117" s="31" t="s">
        <v>35</v>
      </c>
      <c r="J117" s="37" t="str">
        <f t="shared" si="20"/>
        <v>C CF F Regulatory &amp; Consulting</v>
      </c>
      <c r="K117" s="38" t="str">
        <f t="shared" si="22"/>
        <v>C CF F2 NOC</v>
      </c>
      <c r="L117" s="39" t="str">
        <f t="shared" si="23"/>
        <v>C CF F2-10 Height/elevation NOC</v>
      </c>
      <c r="M117" s="33" t="str">
        <f t="shared" si="21"/>
        <v>C PL F Regulatory &amp; Consulting</v>
      </c>
      <c r="N117" s="34" t="str">
        <f t="shared" si="38"/>
        <v>C PL F2 NOC</v>
      </c>
      <c r="O117" s="41" t="str">
        <f t="shared" si="39"/>
        <v>C PL F2-10 Height/elevation NOC</v>
      </c>
      <c r="P117" s="49"/>
    </row>
    <row r="118" spans="1:16" x14ac:dyDescent="0.2">
      <c r="A118" s="15" t="s">
        <v>374</v>
      </c>
      <c r="B118" s="15" t="s">
        <v>374</v>
      </c>
      <c r="C118" s="31" t="s">
        <v>320</v>
      </c>
      <c r="D118" s="31" t="s">
        <v>57</v>
      </c>
      <c r="E118" s="31">
        <v>2</v>
      </c>
      <c r="F118" s="31" t="s">
        <v>45</v>
      </c>
      <c r="G118" s="31">
        <f t="shared" si="41"/>
        <v>11</v>
      </c>
      <c r="H118" s="31" t="s">
        <v>34</v>
      </c>
      <c r="J118" s="37" t="str">
        <f t="shared" si="20"/>
        <v>C CF F Regulatory &amp; Consulting</v>
      </c>
      <c r="K118" s="38" t="str">
        <f t="shared" si="22"/>
        <v>C CF F2 NOC</v>
      </c>
      <c r="L118" s="39" t="str">
        <f t="shared" si="23"/>
        <v>C CF F2-11 Parivesh Fees</v>
      </c>
      <c r="M118" s="33" t="str">
        <f t="shared" si="21"/>
        <v>C PL F Regulatory &amp; Consulting</v>
      </c>
      <c r="N118" s="34" t="str">
        <f t="shared" si="38"/>
        <v>C PL F2 NOC</v>
      </c>
      <c r="O118" s="41" t="str">
        <f t="shared" si="39"/>
        <v>C PL F2-11 Parivesh Fees</v>
      </c>
      <c r="P118" s="49"/>
    </row>
    <row r="119" spans="1:16" x14ac:dyDescent="0.2">
      <c r="A119" s="15" t="s">
        <v>374</v>
      </c>
      <c r="B119" s="15" t="s">
        <v>374</v>
      </c>
      <c r="C119" s="31" t="s">
        <v>320</v>
      </c>
      <c r="D119" s="31" t="s">
        <v>57</v>
      </c>
      <c r="E119" s="31">
        <v>2</v>
      </c>
      <c r="F119" s="31" t="s">
        <v>45</v>
      </c>
      <c r="G119" s="31">
        <f t="shared" si="41"/>
        <v>12</v>
      </c>
      <c r="H119" s="31" t="s">
        <v>33</v>
      </c>
      <c r="J119" s="37" t="str">
        <f t="shared" si="20"/>
        <v>C CF F Regulatory &amp; Consulting</v>
      </c>
      <c r="K119" s="38" t="str">
        <f t="shared" si="22"/>
        <v>C CF F2 NOC</v>
      </c>
      <c r="L119" s="39" t="str">
        <f t="shared" si="23"/>
        <v>C CF F2-12 Royalty for excavation</v>
      </c>
      <c r="M119" s="33" t="str">
        <f t="shared" si="21"/>
        <v>C PL F Regulatory &amp; Consulting</v>
      </c>
      <c r="N119" s="34" t="str">
        <f t="shared" si="38"/>
        <v>C PL F2 NOC</v>
      </c>
      <c r="O119" s="41" t="str">
        <f t="shared" si="39"/>
        <v>C PL F2-12 Royalty for excavation</v>
      </c>
      <c r="P119" s="49"/>
    </row>
    <row r="120" spans="1:16" x14ac:dyDescent="0.2">
      <c r="A120" s="15" t="s">
        <v>374</v>
      </c>
      <c r="B120" s="15" t="s">
        <v>374</v>
      </c>
      <c r="C120" s="31" t="s">
        <v>320</v>
      </c>
      <c r="D120" s="31" t="s">
        <v>57</v>
      </c>
      <c r="E120" s="31">
        <v>2</v>
      </c>
      <c r="F120" s="31" t="s">
        <v>45</v>
      </c>
      <c r="G120" s="31">
        <f t="shared" si="41"/>
        <v>13</v>
      </c>
      <c r="H120" s="31" t="s">
        <v>32</v>
      </c>
      <c r="J120" s="37" t="str">
        <f t="shared" si="20"/>
        <v>C CF F Regulatory &amp; Consulting</v>
      </c>
      <c r="K120" s="38" t="str">
        <f t="shared" si="22"/>
        <v>C CF F2 NOC</v>
      </c>
      <c r="L120" s="39" t="str">
        <f t="shared" si="23"/>
        <v>C CF F2-13 Blast permission</v>
      </c>
      <c r="M120" s="33" t="str">
        <f t="shared" si="21"/>
        <v>C PL F Regulatory &amp; Consulting</v>
      </c>
      <c r="N120" s="34" t="str">
        <f t="shared" si="38"/>
        <v>C PL F2 NOC</v>
      </c>
      <c r="O120" s="41" t="str">
        <f t="shared" si="39"/>
        <v>C PL F2-13 Blast permission</v>
      </c>
      <c r="P120" s="49"/>
    </row>
    <row r="121" spans="1:16" x14ac:dyDescent="0.2">
      <c r="A121" s="15" t="s">
        <v>374</v>
      </c>
      <c r="B121" s="15" t="s">
        <v>374</v>
      </c>
      <c r="C121" s="31" t="s">
        <v>320</v>
      </c>
      <c r="D121" s="31" t="s">
        <v>57</v>
      </c>
      <c r="E121" s="31">
        <v>2</v>
      </c>
      <c r="F121" s="31" t="s">
        <v>45</v>
      </c>
      <c r="G121" s="31">
        <f t="shared" si="41"/>
        <v>14</v>
      </c>
      <c r="H121" s="31" t="s">
        <v>31</v>
      </c>
      <c r="J121" s="37" t="str">
        <f t="shared" si="20"/>
        <v>C CF F Regulatory &amp; Consulting</v>
      </c>
      <c r="K121" s="38" t="str">
        <f t="shared" si="22"/>
        <v>C CF F2 NOC</v>
      </c>
      <c r="L121" s="39" t="str">
        <f t="shared" si="23"/>
        <v>C CF F2-14 NOC Charges (FOR ELEVATION)</v>
      </c>
      <c r="M121" s="33" t="str">
        <f t="shared" si="21"/>
        <v>C PL F Regulatory &amp; Consulting</v>
      </c>
      <c r="N121" s="34" t="str">
        <f t="shared" si="38"/>
        <v>C PL F2 NOC</v>
      </c>
      <c r="O121" s="41" t="str">
        <f t="shared" si="39"/>
        <v>C PL F2-14 NOC Charges (FOR ELEVATION)</v>
      </c>
      <c r="P121" s="49"/>
    </row>
    <row r="122" spans="1:16" x14ac:dyDescent="0.2">
      <c r="A122" s="15" t="s">
        <v>374</v>
      </c>
      <c r="B122" s="15" t="s">
        <v>374</v>
      </c>
      <c r="C122" s="31" t="s">
        <v>320</v>
      </c>
      <c r="D122" s="31" t="s">
        <v>57</v>
      </c>
      <c r="E122" s="31">
        <v>2</v>
      </c>
      <c r="F122" s="31" t="s">
        <v>45</v>
      </c>
      <c r="G122" s="31">
        <f t="shared" si="41"/>
        <v>15</v>
      </c>
      <c r="H122" s="31" t="s">
        <v>430</v>
      </c>
      <c r="J122" s="37" t="str">
        <f t="shared" si="20"/>
        <v>C CF F Regulatory &amp; Consulting</v>
      </c>
      <c r="K122" s="38" t="str">
        <f t="shared" si="22"/>
        <v>C CF F2 NOC</v>
      </c>
      <c r="L122" s="39" t="str">
        <f t="shared" si="23"/>
        <v xml:space="preserve">C CF F2-15 Goa Electricity Department </v>
      </c>
      <c r="M122" s="33" t="str">
        <f t="shared" si="21"/>
        <v>C PL F Regulatory &amp; Consulting</v>
      </c>
      <c r="N122" s="34" t="str">
        <f t="shared" si="38"/>
        <v>C PL F2 NOC</v>
      </c>
      <c r="O122" s="41" t="str">
        <f t="shared" si="39"/>
        <v xml:space="preserve">C PL F2-15 Goa Electricity Department </v>
      </c>
      <c r="P122" s="49"/>
    </row>
    <row r="123" spans="1:16" x14ac:dyDescent="0.2">
      <c r="J123" s="42">
        <f t="shared" ref="J123:J130" si="42">IF($A123="No",0,IF(ISBLANK($D123)=FALSE,CONCATENATE(,$C$2," ",$J$2," ",$C123," ",$D123),0))</f>
        <v>0</v>
      </c>
      <c r="K123" s="43">
        <f t="shared" ref="K123:K130" si="43">IF($J123=0,0,IF(ISBLANK($F123)=FALSE,CONCATENATE(,$C$2," ",$J$2," ",$C123,$E123," ",$F123),0))</f>
        <v>0</v>
      </c>
      <c r="L123" s="44">
        <f t="shared" ref="L123:L130" si="44">IF($K123=0,0,IF(ISBLANK($F123)=FALSE,CONCATENATE(,$C$2," ",$J$2," ",$C123,$E123,,"-",$G123,," ",$H123),0))</f>
        <v>0</v>
      </c>
      <c r="M123" s="45">
        <f t="shared" ref="M123:M130" si="45">IF($B123="No",0,IF(ISBLANK($D123)=FALSE,CONCATENATE(,$C$2," ",$M$2," ",$C123," ",$D123),0))</f>
        <v>0</v>
      </c>
      <c r="N123" s="46">
        <f t="shared" ref="N123:N130" si="46">IF(M123=0,0,IF(ISBLANK($F123)=FALSE,CONCATENATE(,$C$2," ",$M$2," ",$C123,$E123," ",$F123),0))</f>
        <v>0</v>
      </c>
      <c r="O123" s="48">
        <f t="shared" ref="O123:O130" si="47">IF(N123=0,0,IF(ISBLANK($F123)=FALSE,CONCATENATE(,$C$2," ",$M$2," ",$C123,$E123,,"-",$G123,," ",$H123),0))</f>
        <v>0</v>
      </c>
    </row>
    <row r="124" spans="1:16" x14ac:dyDescent="0.2">
      <c r="J124" s="42">
        <f t="shared" si="42"/>
        <v>0</v>
      </c>
      <c r="K124" s="43">
        <f t="shared" si="43"/>
        <v>0</v>
      </c>
      <c r="L124" s="44">
        <f t="shared" si="44"/>
        <v>0</v>
      </c>
      <c r="M124" s="45">
        <f t="shared" si="45"/>
        <v>0</v>
      </c>
      <c r="N124" s="46">
        <f t="shared" si="46"/>
        <v>0</v>
      </c>
      <c r="O124" s="48">
        <f t="shared" si="47"/>
        <v>0</v>
      </c>
    </row>
    <row r="125" spans="1:16" x14ac:dyDescent="0.2">
      <c r="J125" s="42">
        <f t="shared" si="42"/>
        <v>0</v>
      </c>
      <c r="K125" s="43">
        <f t="shared" si="43"/>
        <v>0</v>
      </c>
      <c r="L125" s="44">
        <f t="shared" si="44"/>
        <v>0</v>
      </c>
      <c r="M125" s="45">
        <f t="shared" si="45"/>
        <v>0</v>
      </c>
      <c r="N125" s="46">
        <f t="shared" si="46"/>
        <v>0</v>
      </c>
      <c r="O125" s="48">
        <f t="shared" si="47"/>
        <v>0</v>
      </c>
    </row>
    <row r="126" spans="1:16" x14ac:dyDescent="0.2">
      <c r="J126" s="42">
        <f t="shared" si="42"/>
        <v>0</v>
      </c>
      <c r="K126" s="43">
        <f t="shared" si="43"/>
        <v>0</v>
      </c>
      <c r="L126" s="44">
        <f t="shared" si="44"/>
        <v>0</v>
      </c>
      <c r="M126" s="45">
        <f t="shared" si="45"/>
        <v>0</v>
      </c>
      <c r="N126" s="46">
        <f t="shared" si="46"/>
        <v>0</v>
      </c>
      <c r="O126" s="48">
        <f t="shared" si="47"/>
        <v>0</v>
      </c>
    </row>
    <row r="127" spans="1:16" x14ac:dyDescent="0.2">
      <c r="J127" s="42">
        <f t="shared" si="42"/>
        <v>0</v>
      </c>
      <c r="K127" s="43">
        <f t="shared" si="43"/>
        <v>0</v>
      </c>
      <c r="L127" s="44">
        <f t="shared" si="44"/>
        <v>0</v>
      </c>
      <c r="M127" s="45">
        <f t="shared" si="45"/>
        <v>0</v>
      </c>
      <c r="N127" s="46">
        <f t="shared" si="46"/>
        <v>0</v>
      </c>
      <c r="O127" s="48">
        <f t="shared" si="47"/>
        <v>0</v>
      </c>
    </row>
    <row r="128" spans="1:16" x14ac:dyDescent="0.2">
      <c r="J128" s="22">
        <f t="shared" si="42"/>
        <v>0</v>
      </c>
      <c r="K128" s="24">
        <f t="shared" si="43"/>
        <v>0</v>
      </c>
      <c r="L128" s="12">
        <f t="shared" si="44"/>
        <v>0</v>
      </c>
      <c r="M128" s="26">
        <f t="shared" si="45"/>
        <v>0</v>
      </c>
      <c r="N128" s="28">
        <f t="shared" si="46"/>
        <v>0</v>
      </c>
      <c r="O128" s="13">
        <f t="shared" si="47"/>
        <v>0</v>
      </c>
    </row>
    <row r="129" spans="10:15" x14ac:dyDescent="0.2">
      <c r="J129" s="22">
        <f t="shared" si="42"/>
        <v>0</v>
      </c>
      <c r="K129" s="24">
        <f t="shared" si="43"/>
        <v>0</v>
      </c>
      <c r="L129" s="12">
        <f t="shared" si="44"/>
        <v>0</v>
      </c>
      <c r="M129" s="26">
        <f t="shared" si="45"/>
        <v>0</v>
      </c>
      <c r="N129" s="28">
        <f t="shared" si="46"/>
        <v>0</v>
      </c>
      <c r="O129" s="13">
        <f t="shared" si="47"/>
        <v>0</v>
      </c>
    </row>
    <row r="130" spans="10:15" x14ac:dyDescent="0.2">
      <c r="J130" s="22">
        <f t="shared" si="42"/>
        <v>0</v>
      </c>
      <c r="K130" s="24">
        <f t="shared" si="43"/>
        <v>0</v>
      </c>
      <c r="L130" s="12">
        <f t="shared" si="44"/>
        <v>0</v>
      </c>
      <c r="M130" s="26">
        <f t="shared" si="45"/>
        <v>0</v>
      </c>
      <c r="N130" s="28">
        <f t="shared" si="46"/>
        <v>0</v>
      </c>
      <c r="O130" s="13">
        <f t="shared" si="47"/>
        <v>0</v>
      </c>
    </row>
  </sheetData>
  <mergeCells count="15">
    <mergeCell ref="A4:B4"/>
    <mergeCell ref="C4:D4"/>
    <mergeCell ref="E4:F4"/>
    <mergeCell ref="G4:H4"/>
    <mergeCell ref="C3:I3"/>
    <mergeCell ref="J4:J5"/>
    <mergeCell ref="J3:L3"/>
    <mergeCell ref="M3:O3"/>
    <mergeCell ref="J2:L2"/>
    <mergeCell ref="M2:O2"/>
    <mergeCell ref="K4:K5"/>
    <mergeCell ref="L4:L5"/>
    <mergeCell ref="M4:M5"/>
    <mergeCell ref="N4:N5"/>
    <mergeCell ref="O4:O5"/>
  </mergeCells>
  <conditionalFormatting sqref="A6:B1048576">
    <cfRule type="containsText" dxfId="3" priority="1" operator="containsText" text="YEs">
      <formula>NOT(ISERROR(SEARCH("YEs",A6)))</formula>
    </cfRule>
    <cfRule type="containsText" dxfId="2" priority="2" operator="containsText" text="No">
      <formula>NOT(ISERROR(SEARCH("No",A6)))</formula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26B5D84-2C82-425F-86B7-ADF2205DABE6}">
          <x14:formula1>
            <xm:f>Masters!$B$4:$B$29</xm:f>
          </x14:formula1>
          <xm:sqref>C2</xm:sqref>
        </x14:dataValidation>
        <x14:dataValidation type="list" allowBlank="1" showInputMessage="1" showErrorMessage="1" xr:uid="{ABABB4F5-311F-4248-A480-9C0F0EAF6EF8}">
          <x14:formula1>
            <xm:f>Masters!$E$4:$E$5</xm:f>
          </x14:formula1>
          <xm:sqref>A6:B122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2BEB-6A1F-4406-A033-E98D7C37315F}">
  <dimension ref="A1:S376"/>
  <sheetViews>
    <sheetView topLeftCell="A253" zoomScale="89" workbookViewId="0">
      <selection activeCell="A279" sqref="A279"/>
    </sheetView>
  </sheetViews>
  <sheetFormatPr baseColWidth="10" defaultColWidth="8.83203125" defaultRowHeight="15" x14ac:dyDescent="0.2"/>
  <cols>
    <col min="1" max="1" width="8.83203125" style="15" bestFit="1" customWidth="1"/>
    <col min="2" max="2" width="13.5" style="15" bestFit="1" customWidth="1"/>
    <col min="3" max="3" width="5.33203125" style="31" bestFit="1" customWidth="1"/>
    <col min="4" max="4" width="32" style="31" bestFit="1" customWidth="1"/>
    <col min="5" max="5" width="5.33203125" style="31" bestFit="1" customWidth="1"/>
    <col min="6" max="6" width="27.5" style="31" bestFit="1" customWidth="1"/>
    <col min="7" max="7" width="5.33203125" style="31" bestFit="1" customWidth="1"/>
    <col min="8" max="8" width="38.1640625" style="31" bestFit="1" customWidth="1"/>
    <col min="9" max="9" width="45.33203125" style="21" bestFit="1" customWidth="1"/>
    <col min="10" max="10" width="37.5" style="122" bestFit="1" customWidth="1"/>
    <col min="11" max="11" width="38" style="123" bestFit="1" customWidth="1"/>
    <col min="12" max="12" width="50.6640625" style="124" bestFit="1" customWidth="1"/>
    <col min="13" max="13" width="37.33203125" style="125" bestFit="1" customWidth="1"/>
    <col min="14" max="14" width="35.6640625" style="126" bestFit="1" customWidth="1"/>
    <col min="15" max="15" width="50.5" style="103" bestFit="1" customWidth="1"/>
    <col min="16" max="16" width="8.6640625" style="49"/>
  </cols>
  <sheetData>
    <row r="1" spans="1:19" x14ac:dyDescent="0.2">
      <c r="C1" s="3"/>
      <c r="D1" s="4"/>
      <c r="E1" s="4"/>
      <c r="F1" s="4"/>
      <c r="G1" s="4"/>
      <c r="H1" s="4"/>
      <c r="I1" s="19"/>
      <c r="J1" s="98"/>
      <c r="K1" s="99"/>
      <c r="L1" s="100"/>
      <c r="M1" s="101"/>
      <c r="N1" s="102"/>
    </row>
    <row r="2" spans="1:19" s="74" customFormat="1" ht="17" thickBot="1" x14ac:dyDescent="0.25">
      <c r="A2" s="57"/>
      <c r="B2" s="58" t="s">
        <v>363</v>
      </c>
      <c r="C2" s="58" t="s">
        <v>388</v>
      </c>
      <c r="D2" s="59"/>
      <c r="E2" s="59"/>
      <c r="F2" s="59"/>
      <c r="G2" s="59"/>
      <c r="H2" s="59"/>
      <c r="I2" s="60"/>
      <c r="J2" s="174" t="s">
        <v>365</v>
      </c>
      <c r="K2" s="174"/>
      <c r="L2" s="174"/>
      <c r="M2" s="175" t="s">
        <v>369</v>
      </c>
      <c r="N2" s="175"/>
      <c r="O2" s="175"/>
      <c r="P2" s="104"/>
    </row>
    <row r="3" spans="1:19" s="74" customFormat="1" ht="17" thickBot="1" x14ac:dyDescent="0.25">
      <c r="A3" s="57"/>
      <c r="B3" s="57"/>
      <c r="C3" s="176" t="s">
        <v>368</v>
      </c>
      <c r="D3" s="177"/>
      <c r="E3" s="177"/>
      <c r="F3" s="177"/>
      <c r="G3" s="177"/>
      <c r="H3" s="177"/>
      <c r="I3" s="178"/>
      <c r="J3" s="179" t="s">
        <v>367</v>
      </c>
      <c r="K3" s="180"/>
      <c r="L3" s="181"/>
      <c r="M3" s="182" t="s">
        <v>371</v>
      </c>
      <c r="N3" s="183"/>
      <c r="O3" s="184"/>
      <c r="P3" s="96"/>
      <c r="Q3" s="96"/>
      <c r="R3" s="96"/>
      <c r="S3" s="96"/>
    </row>
    <row r="4" spans="1:19" s="74" customFormat="1" ht="16" thickBot="1" x14ac:dyDescent="0.25">
      <c r="A4" s="185" t="s">
        <v>376</v>
      </c>
      <c r="B4" s="186"/>
      <c r="C4" s="187" t="s">
        <v>167</v>
      </c>
      <c r="D4" s="188"/>
      <c r="E4" s="188" t="s">
        <v>165</v>
      </c>
      <c r="F4" s="188"/>
      <c r="G4" s="188" t="s">
        <v>362</v>
      </c>
      <c r="H4" s="188"/>
      <c r="I4" s="61" t="s">
        <v>360</v>
      </c>
      <c r="J4" s="189" t="s">
        <v>167</v>
      </c>
      <c r="K4" s="164" t="s">
        <v>165</v>
      </c>
      <c r="L4" s="166" t="s">
        <v>362</v>
      </c>
      <c r="M4" s="168" t="s">
        <v>167</v>
      </c>
      <c r="N4" s="170" t="s">
        <v>165</v>
      </c>
      <c r="O4" s="172" t="s">
        <v>362</v>
      </c>
      <c r="P4" s="104"/>
    </row>
    <row r="5" spans="1:19" s="74" customFormat="1" ht="16" thickBot="1" x14ac:dyDescent="0.25">
      <c r="A5" s="62" t="s">
        <v>372</v>
      </c>
      <c r="B5" s="63" t="s">
        <v>366</v>
      </c>
      <c r="C5" s="64" t="s">
        <v>370</v>
      </c>
      <c r="D5" s="65" t="s">
        <v>361</v>
      </c>
      <c r="E5" s="65" t="s">
        <v>370</v>
      </c>
      <c r="F5" s="65" t="s">
        <v>361</v>
      </c>
      <c r="G5" s="65" t="s">
        <v>370</v>
      </c>
      <c r="H5" s="65" t="s">
        <v>361</v>
      </c>
      <c r="I5" s="66"/>
      <c r="J5" s="190"/>
      <c r="K5" s="165"/>
      <c r="L5" s="167"/>
      <c r="M5" s="169"/>
      <c r="N5" s="171"/>
      <c r="O5" s="173"/>
      <c r="P5" s="104"/>
    </row>
    <row r="6" spans="1:19" s="74" customFormat="1" x14ac:dyDescent="0.2">
      <c r="A6" s="57" t="s">
        <v>374</v>
      </c>
      <c r="B6" s="57" t="s">
        <v>374</v>
      </c>
      <c r="C6" s="67" t="s">
        <v>359</v>
      </c>
      <c r="D6" s="67" t="s">
        <v>247</v>
      </c>
      <c r="E6" s="67">
        <v>1</v>
      </c>
      <c r="F6" s="67" t="s">
        <v>246</v>
      </c>
      <c r="G6" s="67">
        <v>1</v>
      </c>
      <c r="H6" s="67" t="s">
        <v>245</v>
      </c>
      <c r="I6" s="60" t="s">
        <v>244</v>
      </c>
      <c r="J6" s="68" t="str">
        <f>IF($A6="No",0,IF(ISBLANK($D6)=FALSE,CONCATENATE(,$C$2," ",$J$2," ",$C6," ",$D6),0))</f>
        <v>CM CF A Marketing Cost</v>
      </c>
      <c r="K6" s="69" t="str">
        <f>IF(J6=0,0,IF(ISBLANK($F6)=FALSE,CONCATENATE(,$C$2," ",$J$2," ",$C6,$E6," ",$F6),0))</f>
        <v>CM CF A1 Digital Marketing</v>
      </c>
      <c r="L6" s="70" t="str">
        <f>IF(K6=0,0,IF(ISBLANK($F6)=FALSE,CONCATENATE(,$C$2," ",$J$2," ",$C6,$E6,,"-",$G6,," ",$H6),0))</f>
        <v>CM CF A1-1 Google Ads</v>
      </c>
      <c r="M6" s="71" t="str">
        <f>IF($B6="No",0,IF(ISBLANK($D6)=FALSE,CONCATENATE(,$C$2," ",$M$2," ",$C6," ",$D6),0))</f>
        <v>CM PL A Marketing Cost</v>
      </c>
      <c r="N6" s="72" t="str">
        <f>IF(M6=0,0,IF(ISBLANK($F6)=FALSE,CONCATENATE(,$C$2," ",$M$2," ",$C6,$E6," ",$F6),0))</f>
        <v>CM PL A1 Digital Marketing</v>
      </c>
      <c r="O6" s="73" t="str">
        <f>IF(N6=0,0,IF(ISBLANK($F6)=FALSE,CONCATENATE(,$C$2," ",$M$2," ",$C6,$E6,,"-",$G6,," ",$H6),0))</f>
        <v>CM PL A1-1 Google Ads</v>
      </c>
      <c r="P6" s="104"/>
    </row>
    <row r="7" spans="1:19" s="74" customFormat="1" x14ac:dyDescent="0.2">
      <c r="A7" s="57" t="s">
        <v>374</v>
      </c>
      <c r="B7" s="57" t="s">
        <v>374</v>
      </c>
      <c r="C7" s="67" t="s">
        <v>359</v>
      </c>
      <c r="D7" s="67" t="s">
        <v>247</v>
      </c>
      <c r="E7" s="67">
        <v>1</v>
      </c>
      <c r="F7" s="67" t="s">
        <v>246</v>
      </c>
      <c r="G7" s="67">
        <v>2</v>
      </c>
      <c r="H7" s="67" t="s">
        <v>243</v>
      </c>
      <c r="I7" s="60" t="s">
        <v>242</v>
      </c>
      <c r="J7" s="68" t="str">
        <f>IF($A7="No",0,IF(ISBLANK($D7)=FALSE,CONCATENATE(,$C$2," ",$J$2," ",$C7," ",$D7),0))</f>
        <v>CM CF A Marketing Cost</v>
      </c>
      <c r="K7" s="69" t="str">
        <f>IF(J7=0,0,IF(ISBLANK($F7)=FALSE,CONCATENATE(,$C$2," ",$J$2," ",$C7,$E7," ",$F7),0))</f>
        <v>CM CF A1 Digital Marketing</v>
      </c>
      <c r="L7" s="70" t="str">
        <f>IF(K7=0,0,IF(ISBLANK($F7)=FALSE,CONCATENATE(,$C$2," ",$J$2," ",$C7,$E7,,"-",$G7,," ",$H7),0))</f>
        <v>CM CF A1-2 Facebook Ads</v>
      </c>
      <c r="M7" s="71" t="str">
        <f>IF($B7="No",0,IF(ISBLANK($D7)=FALSE,CONCATENATE(,$C$2," ",$M$2," ",$C7," ",$D7),0))</f>
        <v>CM PL A Marketing Cost</v>
      </c>
      <c r="N7" s="72" t="str">
        <f>IF(M7=0,0,IF(ISBLANK($F7)=FALSE,CONCATENATE(,$C$2," ",$M$2," ",$C7,$E7," ",$F7),0))</f>
        <v>CM PL A1 Digital Marketing</v>
      </c>
      <c r="O7" s="73" t="str">
        <f>IF(N7=0,0,IF(ISBLANK($F7)=FALSE,CONCATENATE(,$C$2," ",$M$2," ",$C7,$E7,,"-",$G7,," ",$H7),0))</f>
        <v>CM PL A1-2 Facebook Ads</v>
      </c>
      <c r="P7" s="104"/>
    </row>
    <row r="8" spans="1:19" s="74" customFormat="1" x14ac:dyDescent="0.2">
      <c r="A8" s="57" t="s">
        <v>374</v>
      </c>
      <c r="B8" s="57" t="s">
        <v>374</v>
      </c>
      <c r="C8" s="67" t="s">
        <v>359</v>
      </c>
      <c r="D8" s="67" t="s">
        <v>247</v>
      </c>
      <c r="E8" s="67">
        <v>1</v>
      </c>
      <c r="F8" s="67" t="s">
        <v>246</v>
      </c>
      <c r="G8" s="67">
        <v>3</v>
      </c>
      <c r="H8" s="67" t="s">
        <v>241</v>
      </c>
      <c r="I8" s="60" t="s">
        <v>240</v>
      </c>
      <c r="J8" s="68" t="str">
        <f>IF($A8="No",0,IF(ISBLANK($D8)=FALSE,CONCATENATE(,$C$2," ",$J$2," ",$C8," ",$D8),0))</f>
        <v>CM CF A Marketing Cost</v>
      </c>
      <c r="K8" s="69" t="str">
        <f>IF(J8=0,0,IF(ISBLANK($F8)=FALSE,CONCATENATE(,$C$2," ",$J$2," ",$C8,$E8," ",$F8),0))</f>
        <v>CM CF A1 Digital Marketing</v>
      </c>
      <c r="L8" s="70" t="str">
        <f>IF(K8=0,0,IF(ISBLANK($F8)=FALSE,CONCATENATE(,$C$2," ",$J$2," ",$C8,$E8,,"-",$G8,," ",$H8),0))</f>
        <v>CM CF A1-3 Shoot</v>
      </c>
      <c r="M8" s="71" t="str">
        <f>IF($B8="No",0,IF(ISBLANK($D8)=FALSE,CONCATENATE(,$C$2," ",$M$2," ",$C8," ",$D8),0))</f>
        <v>CM PL A Marketing Cost</v>
      </c>
      <c r="N8" s="72" t="str">
        <f>IF(M8=0,0,IF(ISBLANK($F8)=FALSE,CONCATENATE(,$C$2," ",$M$2," ",$C8,$E8," ",$F8),0))</f>
        <v>CM PL A1 Digital Marketing</v>
      </c>
      <c r="O8" s="73" t="str">
        <f>IF(N8=0,0,IF(ISBLANK($F8)=FALSE,CONCATENATE(,$C$2," ",$M$2," ",$C8,$E8,,"-",$G8,," ",$H8),0))</f>
        <v>CM PL A1-3 Shoot</v>
      </c>
      <c r="P8" s="104"/>
    </row>
    <row r="9" spans="1:19" s="74" customFormat="1" x14ac:dyDescent="0.2">
      <c r="A9" s="57" t="s">
        <v>374</v>
      </c>
      <c r="B9" s="57" t="s">
        <v>374</v>
      </c>
      <c r="C9" s="67" t="s">
        <v>359</v>
      </c>
      <c r="D9" s="67" t="s">
        <v>247</v>
      </c>
      <c r="E9" s="67">
        <v>1</v>
      </c>
      <c r="F9" s="67" t="s">
        <v>246</v>
      </c>
      <c r="G9" s="67">
        <v>4</v>
      </c>
      <c r="H9" s="67" t="s">
        <v>239</v>
      </c>
      <c r="I9" s="60"/>
      <c r="J9" s="68" t="str">
        <f>IF($A9="No",0,IF(ISBLANK($D9)=FALSE,CONCATENATE(,$C$2," ",$J$2," ",$C9," ",$D9),0))</f>
        <v>CM CF A Marketing Cost</v>
      </c>
      <c r="K9" s="69" t="str">
        <f>IF($J9=0,0,IF(ISBLANK($F9)=FALSE,CONCATENATE(,$C$2," ",$J$2," ",$C9,$E9," ",$F9),0))</f>
        <v>CM CF A1 Digital Marketing</v>
      </c>
      <c r="L9" s="70" t="str">
        <f>IF($K9=0,0,IF(ISBLANK($F9)=FALSE,CONCATENATE(,$C$2," ",$J$2," ",$C9,$E9,,"-",$G9,," ",$H9),0))</f>
        <v xml:space="preserve">CM CF A1-4 Advertisement </v>
      </c>
      <c r="M9" s="71" t="str">
        <f>IF($B9="No",0,IF(ISBLANK($D9)=FALSE,CONCATENATE(,$C$2," ",$M$2," ",$C9," ",$D9),0))</f>
        <v>CM PL A Marketing Cost</v>
      </c>
      <c r="N9" s="72" t="str">
        <f>IF(M9=0,0,IF(ISBLANK($F9)=FALSE,CONCATENATE(,$C$2," ",$M$2," ",$C9,$E9," ",$F9),0))</f>
        <v>CM PL A1 Digital Marketing</v>
      </c>
      <c r="O9" s="73" t="str">
        <f>IF(N9=0,0,IF(ISBLANK($F9)=FALSE,CONCATENATE(,$C$2," ",$M$2," ",$C9,$E9,,"-",$G9,," ",$H9),0))</f>
        <v xml:space="preserve">CM PL A1-4 Advertisement </v>
      </c>
      <c r="P9" s="104"/>
    </row>
    <row r="10" spans="1:19" s="74" customFormat="1" x14ac:dyDescent="0.2">
      <c r="A10" s="57" t="s">
        <v>374</v>
      </c>
      <c r="B10" s="57" t="s">
        <v>374</v>
      </c>
      <c r="C10" s="67" t="s">
        <v>359</v>
      </c>
      <c r="D10" s="67" t="s">
        <v>247</v>
      </c>
      <c r="E10" s="67">
        <v>2</v>
      </c>
      <c r="F10" s="67" t="s">
        <v>238</v>
      </c>
      <c r="G10" s="67">
        <v>1</v>
      </c>
      <c r="H10" s="67" t="s">
        <v>237</v>
      </c>
      <c r="I10" s="60" t="s">
        <v>236</v>
      </c>
      <c r="J10" s="68" t="str">
        <f t="shared" ref="J10:J214" si="0">IF($A10="No",0,IF(ISBLANK($D10)=FALSE,CONCATENATE(,$C$2," ",$J$2," ",$C10," ",$D10),0))</f>
        <v>CM CF A Marketing Cost</v>
      </c>
      <c r="K10" s="69" t="str">
        <f t="shared" ref="K10:K214" si="1">IF($J10=0,0,IF(ISBLANK($F10)=FALSE,CONCATENATE(,$C$2," ",$J$2," ",$C10,$E10," ",$F10),0))</f>
        <v>CM CF A2 Outdoor Marketing</v>
      </c>
      <c r="L10" s="70" t="str">
        <f t="shared" ref="L10:L214" si="2">IF($K10=0,0,IF(ISBLANK($F10)=FALSE,CONCATENATE(,$C$2," ",$J$2," ",$C10,$E10,,"-",$G10,," ",$H10),0))</f>
        <v>CM CF A2-1 Hoardings</v>
      </c>
      <c r="M10" s="71" t="str">
        <f t="shared" ref="M10:M214" si="3">IF($B10="No",0,IF(ISBLANK($D10)=FALSE,CONCATENATE(,$C$2," ",$M$2," ",$C10," ",$D10),0))</f>
        <v>CM PL A Marketing Cost</v>
      </c>
      <c r="N10" s="72" t="str">
        <f t="shared" ref="N10:N214" si="4">IF(M10=0,0,IF(ISBLANK($F10)=FALSE,CONCATENATE(,$C$2," ",$M$2," ",$C10,$E10," ",$F10),0))</f>
        <v>CM PL A2 Outdoor Marketing</v>
      </c>
      <c r="O10" s="73" t="str">
        <f t="shared" ref="O10:O214" si="5">IF(N10=0,0,IF(ISBLANK($F10)=FALSE,CONCATENATE(,$C$2," ",$M$2," ",$C10,$E10,,"-",$G10,," ",$H10),0))</f>
        <v>CM PL A2-1 Hoardings</v>
      </c>
      <c r="P10" s="104"/>
    </row>
    <row r="11" spans="1:19" s="74" customFormat="1" x14ac:dyDescent="0.2">
      <c r="A11" s="57" t="s">
        <v>374</v>
      </c>
      <c r="B11" s="57" t="s">
        <v>374</v>
      </c>
      <c r="C11" s="67" t="s">
        <v>359</v>
      </c>
      <c r="D11" s="67" t="s">
        <v>247</v>
      </c>
      <c r="E11" s="67">
        <v>2</v>
      </c>
      <c r="F11" s="67" t="s">
        <v>238</v>
      </c>
      <c r="G11" s="67">
        <v>2</v>
      </c>
      <c r="H11" s="67" t="s">
        <v>235</v>
      </c>
      <c r="I11" s="60"/>
      <c r="J11" s="68" t="str">
        <f t="shared" si="0"/>
        <v>CM CF A Marketing Cost</v>
      </c>
      <c r="K11" s="69" t="str">
        <f t="shared" si="1"/>
        <v>CM CF A2 Outdoor Marketing</v>
      </c>
      <c r="L11" s="70" t="str">
        <f t="shared" si="2"/>
        <v>CM CF A2-2 Other Marketing expenses</v>
      </c>
      <c r="M11" s="71" t="str">
        <f t="shared" si="3"/>
        <v>CM PL A Marketing Cost</v>
      </c>
      <c r="N11" s="72" t="str">
        <f t="shared" si="4"/>
        <v>CM PL A2 Outdoor Marketing</v>
      </c>
      <c r="O11" s="73" t="str">
        <f t="shared" si="5"/>
        <v>CM PL A2-2 Other Marketing expenses</v>
      </c>
      <c r="P11" s="104"/>
    </row>
    <row r="12" spans="1:19" s="74" customFormat="1" x14ac:dyDescent="0.2">
      <c r="A12" s="57" t="s">
        <v>374</v>
      </c>
      <c r="B12" s="57" t="s">
        <v>374</v>
      </c>
      <c r="C12" s="67" t="s">
        <v>359</v>
      </c>
      <c r="D12" s="67" t="s">
        <v>247</v>
      </c>
      <c r="E12" s="67">
        <v>3</v>
      </c>
      <c r="F12" s="67" t="s">
        <v>234</v>
      </c>
      <c r="G12" s="67">
        <v>1</v>
      </c>
      <c r="H12" s="67" t="s">
        <v>233</v>
      </c>
      <c r="I12" s="60" t="s">
        <v>232</v>
      </c>
      <c r="J12" s="68" t="str">
        <f>IF($A12="No",0,IF(ISBLANK($D12)=FALSE,CONCATENATE(,$C$2," ",$J$2," ",$C12," ",$D12),0))</f>
        <v>CM CF A Marketing Cost</v>
      </c>
      <c r="K12" s="69" t="str">
        <f t="shared" si="1"/>
        <v>CM CF A3 Channel Partner Commission</v>
      </c>
      <c r="L12" s="70" t="str">
        <f t="shared" si="2"/>
        <v>CM CF A3-1 Broker Commission</v>
      </c>
      <c r="M12" s="71" t="str">
        <f t="shared" si="3"/>
        <v>CM PL A Marketing Cost</v>
      </c>
      <c r="N12" s="72" t="str">
        <f t="shared" si="4"/>
        <v>CM PL A3 Channel Partner Commission</v>
      </c>
      <c r="O12" s="73" t="str">
        <f t="shared" si="5"/>
        <v>CM PL A3-1 Broker Commission</v>
      </c>
      <c r="P12" s="104"/>
    </row>
    <row r="13" spans="1:19" s="74" customFormat="1" x14ac:dyDescent="0.2">
      <c r="A13" s="57" t="s">
        <v>374</v>
      </c>
      <c r="B13" s="57" t="s">
        <v>374</v>
      </c>
      <c r="C13" s="67" t="s">
        <v>359</v>
      </c>
      <c r="D13" s="67" t="s">
        <v>247</v>
      </c>
      <c r="E13" s="67">
        <v>4</v>
      </c>
      <c r="F13" s="67" t="s">
        <v>231</v>
      </c>
      <c r="G13" s="67">
        <v>1</v>
      </c>
      <c r="H13" s="67" t="s">
        <v>230</v>
      </c>
      <c r="I13" s="60"/>
      <c r="J13" s="68" t="str">
        <f t="shared" si="0"/>
        <v>CM CF A Marketing Cost</v>
      </c>
      <c r="K13" s="69" t="str">
        <f t="shared" si="1"/>
        <v>CM CF A4 Radio</v>
      </c>
      <c r="L13" s="70" t="str">
        <f t="shared" si="2"/>
        <v>CM CF A4-1 Radio Ads</v>
      </c>
      <c r="M13" s="71" t="str">
        <f t="shared" si="3"/>
        <v>CM PL A Marketing Cost</v>
      </c>
      <c r="N13" s="72" t="str">
        <f t="shared" si="4"/>
        <v>CM PL A4 Radio</v>
      </c>
      <c r="O13" s="73" t="str">
        <f t="shared" si="5"/>
        <v>CM PL A4-1 Radio Ads</v>
      </c>
      <c r="P13" s="104"/>
    </row>
    <row r="14" spans="1:19" s="74" customFormat="1" x14ac:dyDescent="0.2">
      <c r="A14" s="57" t="s">
        <v>374</v>
      </c>
      <c r="B14" s="57" t="s">
        <v>374</v>
      </c>
      <c r="C14" s="67" t="s">
        <v>359</v>
      </c>
      <c r="D14" s="67" t="s">
        <v>247</v>
      </c>
      <c r="E14" s="67">
        <v>5</v>
      </c>
      <c r="F14" s="67" t="s">
        <v>229</v>
      </c>
      <c r="G14" s="67">
        <v>1</v>
      </c>
      <c r="H14" s="67" t="s">
        <v>228</v>
      </c>
      <c r="I14" s="60"/>
      <c r="J14" s="68" t="str">
        <f t="shared" si="0"/>
        <v>CM CF A Marketing Cost</v>
      </c>
      <c r="K14" s="69" t="str">
        <f t="shared" si="1"/>
        <v>CM CF A5 Print</v>
      </c>
      <c r="L14" s="70" t="str">
        <f t="shared" si="2"/>
        <v>CM CF A5-1 Print Ads</v>
      </c>
      <c r="M14" s="71" t="str">
        <f t="shared" si="3"/>
        <v>CM PL A Marketing Cost</v>
      </c>
      <c r="N14" s="72" t="str">
        <f t="shared" si="4"/>
        <v>CM PL A5 Print</v>
      </c>
      <c r="O14" s="73" t="str">
        <f t="shared" si="5"/>
        <v>CM PL A5-1 Print Ads</v>
      </c>
      <c r="P14" s="104"/>
    </row>
    <row r="15" spans="1:19" s="74" customFormat="1" x14ac:dyDescent="0.2">
      <c r="A15" s="57" t="s">
        <v>374</v>
      </c>
      <c r="B15" s="57" t="s">
        <v>374</v>
      </c>
      <c r="C15" s="67" t="s">
        <v>359</v>
      </c>
      <c r="D15" s="67" t="s">
        <v>247</v>
      </c>
      <c r="E15" s="67">
        <v>6</v>
      </c>
      <c r="F15" s="67" t="s">
        <v>227</v>
      </c>
      <c r="G15" s="67">
        <v>1</v>
      </c>
      <c r="H15" s="67" t="s">
        <v>226</v>
      </c>
      <c r="I15" s="60" t="s">
        <v>217</v>
      </c>
      <c r="J15" s="68" t="str">
        <f t="shared" si="0"/>
        <v>CM CF A Marketing Cost</v>
      </c>
      <c r="K15" s="69" t="str">
        <f t="shared" si="1"/>
        <v>CM CF A6 Site Branding</v>
      </c>
      <c r="L15" s="70" t="str">
        <f t="shared" si="2"/>
        <v>CM CF A6-1 Site Branding Cost</v>
      </c>
      <c r="M15" s="71" t="str">
        <f t="shared" si="3"/>
        <v>CM PL A Marketing Cost</v>
      </c>
      <c r="N15" s="72" t="str">
        <f t="shared" si="4"/>
        <v>CM PL A6 Site Branding</v>
      </c>
      <c r="O15" s="73" t="str">
        <f t="shared" si="5"/>
        <v>CM PL A6-1 Site Branding Cost</v>
      </c>
      <c r="P15" s="104"/>
    </row>
    <row r="16" spans="1:19" s="74" customFormat="1" x14ac:dyDescent="0.2">
      <c r="A16" s="57" t="s">
        <v>374</v>
      </c>
      <c r="B16" s="57" t="s">
        <v>374</v>
      </c>
      <c r="C16" s="67" t="s">
        <v>359</v>
      </c>
      <c r="D16" s="67" t="s">
        <v>247</v>
      </c>
      <c r="E16" s="67">
        <v>6</v>
      </c>
      <c r="F16" s="67" t="s">
        <v>227</v>
      </c>
      <c r="G16" s="67">
        <v>2</v>
      </c>
      <c r="H16" s="67" t="s">
        <v>225</v>
      </c>
      <c r="I16" s="60"/>
      <c r="J16" s="68" t="str">
        <f t="shared" si="0"/>
        <v>CM CF A Marketing Cost</v>
      </c>
      <c r="K16" s="69" t="str">
        <f t="shared" si="1"/>
        <v>CM CF A6 Site Branding</v>
      </c>
      <c r="L16" s="70" t="str">
        <f t="shared" si="2"/>
        <v>CM CF A6-2 Function and Festival Expenses</v>
      </c>
      <c r="M16" s="71" t="str">
        <f t="shared" si="3"/>
        <v>CM PL A Marketing Cost</v>
      </c>
      <c r="N16" s="72" t="str">
        <f t="shared" si="4"/>
        <v>CM PL A6 Site Branding</v>
      </c>
      <c r="O16" s="73" t="str">
        <f t="shared" si="5"/>
        <v>CM PL A6-2 Function and Festival Expenses</v>
      </c>
      <c r="P16" s="104"/>
    </row>
    <row r="17" spans="1:16" s="74" customFormat="1" x14ac:dyDescent="0.2">
      <c r="A17" s="57" t="s">
        <v>374</v>
      </c>
      <c r="B17" s="57" t="s">
        <v>374</v>
      </c>
      <c r="C17" s="67" t="s">
        <v>359</v>
      </c>
      <c r="D17" s="67" t="s">
        <v>247</v>
      </c>
      <c r="E17" s="67">
        <v>6</v>
      </c>
      <c r="F17" s="67" t="s">
        <v>227</v>
      </c>
      <c r="G17" s="67">
        <v>3</v>
      </c>
      <c r="H17" s="67" t="s">
        <v>224</v>
      </c>
      <c r="I17" s="60"/>
      <c r="J17" s="68" t="str">
        <f t="shared" si="0"/>
        <v>CM CF A Marketing Cost</v>
      </c>
      <c r="K17" s="69" t="str">
        <f t="shared" si="1"/>
        <v>CM CF A6 Site Branding</v>
      </c>
      <c r="L17" s="70" t="str">
        <f t="shared" si="2"/>
        <v>CM CF A6-3 Social Media Influencer</v>
      </c>
      <c r="M17" s="71" t="str">
        <f t="shared" si="3"/>
        <v>CM PL A Marketing Cost</v>
      </c>
      <c r="N17" s="72" t="str">
        <f t="shared" si="4"/>
        <v>CM PL A6 Site Branding</v>
      </c>
      <c r="O17" s="73" t="str">
        <f t="shared" si="5"/>
        <v>CM PL A6-3 Social Media Influencer</v>
      </c>
      <c r="P17" s="104"/>
    </row>
    <row r="18" spans="1:16" s="74" customFormat="1" x14ac:dyDescent="0.2">
      <c r="A18" s="57" t="s">
        <v>374</v>
      </c>
      <c r="B18" s="57" t="s">
        <v>374</v>
      </c>
      <c r="C18" s="67" t="s">
        <v>351</v>
      </c>
      <c r="D18" s="67" t="s">
        <v>148</v>
      </c>
      <c r="E18" s="67">
        <v>1</v>
      </c>
      <c r="F18" s="67" t="s">
        <v>141</v>
      </c>
      <c r="G18" s="67">
        <v>1</v>
      </c>
      <c r="H18" s="67" t="s">
        <v>140</v>
      </c>
      <c r="I18" s="60" t="s">
        <v>139</v>
      </c>
      <c r="J18" s="68" t="str">
        <f t="shared" si="0"/>
        <v>CM CF B Show Flat</v>
      </c>
      <c r="K18" s="69" t="str">
        <f t="shared" si="1"/>
        <v>CM CF B1 RCC Structure</v>
      </c>
      <c r="L18" s="70" t="str">
        <f t="shared" si="2"/>
        <v>CM CF B1-1 Steel</v>
      </c>
      <c r="M18" s="71" t="str">
        <f t="shared" si="3"/>
        <v>CM PL B Show Flat</v>
      </c>
      <c r="N18" s="72" t="str">
        <f t="shared" si="4"/>
        <v>CM PL B1 RCC Structure</v>
      </c>
      <c r="O18" s="73" t="str">
        <f t="shared" si="5"/>
        <v>CM PL B1-1 Steel</v>
      </c>
      <c r="P18" s="104"/>
    </row>
    <row r="19" spans="1:16" s="74" customFormat="1" x14ac:dyDescent="0.2">
      <c r="A19" s="57" t="s">
        <v>374</v>
      </c>
      <c r="B19" s="57" t="s">
        <v>374</v>
      </c>
      <c r="C19" s="67" t="s">
        <v>351</v>
      </c>
      <c r="D19" s="67" t="s">
        <v>148</v>
      </c>
      <c r="E19" s="67">
        <v>1</v>
      </c>
      <c r="F19" s="67" t="s">
        <v>141</v>
      </c>
      <c r="G19" s="67">
        <v>2</v>
      </c>
      <c r="H19" s="67" t="s">
        <v>138</v>
      </c>
      <c r="I19" s="60" t="s">
        <v>137</v>
      </c>
      <c r="J19" s="68" t="str">
        <f t="shared" si="0"/>
        <v>CM CF B Show Flat</v>
      </c>
      <c r="K19" s="69" t="str">
        <f t="shared" si="1"/>
        <v>CM CF B1 RCC Structure</v>
      </c>
      <c r="L19" s="70" t="str">
        <f t="shared" si="2"/>
        <v>CM CF B1-2 Cement</v>
      </c>
      <c r="M19" s="71" t="str">
        <f t="shared" si="3"/>
        <v>CM PL B Show Flat</v>
      </c>
      <c r="N19" s="72" t="str">
        <f t="shared" si="4"/>
        <v>CM PL B1 RCC Structure</v>
      </c>
      <c r="O19" s="73" t="str">
        <f t="shared" si="5"/>
        <v>CM PL B1-2 Cement</v>
      </c>
      <c r="P19" s="104"/>
    </row>
    <row r="20" spans="1:16" s="74" customFormat="1" x14ac:dyDescent="0.2">
      <c r="A20" s="57" t="s">
        <v>374</v>
      </c>
      <c r="B20" s="57" t="s">
        <v>374</v>
      </c>
      <c r="C20" s="67" t="s">
        <v>351</v>
      </c>
      <c r="D20" s="67" t="s">
        <v>148</v>
      </c>
      <c r="E20" s="67">
        <v>1</v>
      </c>
      <c r="F20" s="67" t="s">
        <v>141</v>
      </c>
      <c r="G20" s="67">
        <v>3</v>
      </c>
      <c r="H20" s="67" t="s">
        <v>136</v>
      </c>
      <c r="I20" s="60" t="s">
        <v>135</v>
      </c>
      <c r="J20" s="68" t="str">
        <f t="shared" si="0"/>
        <v>CM CF B Show Flat</v>
      </c>
      <c r="K20" s="69" t="str">
        <f t="shared" si="1"/>
        <v>CM CF B1 RCC Structure</v>
      </c>
      <c r="L20" s="70" t="str">
        <f t="shared" si="2"/>
        <v>CM CF B1-3 Sand</v>
      </c>
      <c r="M20" s="71" t="str">
        <f t="shared" si="3"/>
        <v>CM PL B Show Flat</v>
      </c>
      <c r="N20" s="72" t="str">
        <f t="shared" si="4"/>
        <v>CM PL B1 RCC Structure</v>
      </c>
      <c r="O20" s="73" t="str">
        <f t="shared" si="5"/>
        <v>CM PL B1-3 Sand</v>
      </c>
      <c r="P20" s="104"/>
    </row>
    <row r="21" spans="1:16" s="74" customFormat="1" x14ac:dyDescent="0.2">
      <c r="A21" s="57" t="s">
        <v>374</v>
      </c>
      <c r="B21" s="57" t="s">
        <v>374</v>
      </c>
      <c r="C21" s="67" t="s">
        <v>351</v>
      </c>
      <c r="D21" s="67" t="s">
        <v>148</v>
      </c>
      <c r="E21" s="67">
        <v>1</v>
      </c>
      <c r="F21" s="67" t="s">
        <v>141</v>
      </c>
      <c r="G21" s="67">
        <v>4</v>
      </c>
      <c r="H21" s="67" t="s">
        <v>134</v>
      </c>
      <c r="I21" s="60" t="s">
        <v>133</v>
      </c>
      <c r="J21" s="68" t="str">
        <f t="shared" si="0"/>
        <v>CM CF B Show Flat</v>
      </c>
      <c r="K21" s="69" t="str">
        <f t="shared" si="1"/>
        <v>CM CF B1 RCC Structure</v>
      </c>
      <c r="L21" s="70" t="str">
        <f t="shared" si="2"/>
        <v>CM CF B1-4 Aggregate</v>
      </c>
      <c r="M21" s="71" t="str">
        <f t="shared" si="3"/>
        <v>CM PL B Show Flat</v>
      </c>
      <c r="N21" s="72" t="str">
        <f t="shared" si="4"/>
        <v>CM PL B1 RCC Structure</v>
      </c>
      <c r="O21" s="73" t="str">
        <f t="shared" si="5"/>
        <v>CM PL B1-4 Aggregate</v>
      </c>
      <c r="P21" s="104"/>
    </row>
    <row r="22" spans="1:16" s="74" customFormat="1" x14ac:dyDescent="0.2">
      <c r="A22" s="57" t="s">
        <v>374</v>
      </c>
      <c r="B22" s="57" t="s">
        <v>374</v>
      </c>
      <c r="C22" s="67" t="s">
        <v>351</v>
      </c>
      <c r="D22" s="67" t="s">
        <v>148</v>
      </c>
      <c r="E22" s="67">
        <v>1</v>
      </c>
      <c r="F22" s="67" t="s">
        <v>141</v>
      </c>
      <c r="G22" s="67">
        <v>5</v>
      </c>
      <c r="H22" s="67" t="s">
        <v>132</v>
      </c>
      <c r="I22" s="60" t="s">
        <v>131</v>
      </c>
      <c r="J22" s="68" t="str">
        <f t="shared" si="0"/>
        <v>CM CF B Show Flat</v>
      </c>
      <c r="K22" s="69" t="str">
        <f t="shared" si="1"/>
        <v>CM CF B1 RCC Structure</v>
      </c>
      <c r="L22" s="70" t="str">
        <f t="shared" si="2"/>
        <v>CM CF B1-5 RCC Labour</v>
      </c>
      <c r="M22" s="71" t="str">
        <f t="shared" si="3"/>
        <v>CM PL B Show Flat</v>
      </c>
      <c r="N22" s="72" t="str">
        <f t="shared" si="4"/>
        <v>CM PL B1 RCC Structure</v>
      </c>
      <c r="O22" s="73" t="str">
        <f t="shared" si="5"/>
        <v>CM PL B1-5 RCC Labour</v>
      </c>
      <c r="P22" s="104"/>
    </row>
    <row r="23" spans="1:16" s="74" customFormat="1" x14ac:dyDescent="0.2">
      <c r="A23" s="57" t="s">
        <v>374</v>
      </c>
      <c r="B23" s="57" t="s">
        <v>374</v>
      </c>
      <c r="C23" s="67" t="s">
        <v>351</v>
      </c>
      <c r="D23" s="67" t="s">
        <v>148</v>
      </c>
      <c r="E23" s="67">
        <v>1</v>
      </c>
      <c r="F23" s="67" t="s">
        <v>141</v>
      </c>
      <c r="G23" s="67">
        <v>6</v>
      </c>
      <c r="H23" s="67" t="s">
        <v>130</v>
      </c>
      <c r="I23" s="60" t="s">
        <v>129</v>
      </c>
      <c r="J23" s="68" t="str">
        <f t="shared" si="0"/>
        <v>CM CF B Show Flat</v>
      </c>
      <c r="K23" s="69" t="str">
        <f t="shared" si="1"/>
        <v>CM CF B1 RCC Structure</v>
      </c>
      <c r="L23" s="70" t="str">
        <f t="shared" si="2"/>
        <v>CM CF B1-6 Shuttering</v>
      </c>
      <c r="M23" s="71" t="str">
        <f t="shared" si="3"/>
        <v>CM PL B Show Flat</v>
      </c>
      <c r="N23" s="72" t="str">
        <f t="shared" si="4"/>
        <v>CM PL B1 RCC Structure</v>
      </c>
      <c r="O23" s="73" t="str">
        <f t="shared" si="5"/>
        <v>CM PL B1-6 Shuttering</v>
      </c>
      <c r="P23" s="104"/>
    </row>
    <row r="24" spans="1:16" s="74" customFormat="1" x14ac:dyDescent="0.2">
      <c r="A24" s="57" t="s">
        <v>374</v>
      </c>
      <c r="B24" s="57" t="s">
        <v>374</v>
      </c>
      <c r="C24" s="67" t="s">
        <v>351</v>
      </c>
      <c r="D24" s="67" t="s">
        <v>148</v>
      </c>
      <c r="E24" s="67">
        <v>1</v>
      </c>
      <c r="F24" s="67" t="s">
        <v>141</v>
      </c>
      <c r="G24" s="67">
        <v>7</v>
      </c>
      <c r="H24" s="67" t="s">
        <v>128</v>
      </c>
      <c r="I24" s="60" t="s">
        <v>127</v>
      </c>
      <c r="J24" s="68" t="str">
        <f t="shared" si="0"/>
        <v>CM CF B Show Flat</v>
      </c>
      <c r="K24" s="69" t="str">
        <f t="shared" si="1"/>
        <v>CM CF B1 RCC Structure</v>
      </c>
      <c r="L24" s="70" t="str">
        <f t="shared" si="2"/>
        <v>CM CF B1-7 Concrete Pump</v>
      </c>
      <c r="M24" s="71" t="str">
        <f t="shared" si="3"/>
        <v>CM PL B Show Flat</v>
      </c>
      <c r="N24" s="72" t="str">
        <f t="shared" si="4"/>
        <v>CM PL B1 RCC Structure</v>
      </c>
      <c r="O24" s="73" t="str">
        <f t="shared" si="5"/>
        <v>CM PL B1-7 Concrete Pump</v>
      </c>
      <c r="P24" s="104"/>
    </row>
    <row r="25" spans="1:16" s="74" customFormat="1" x14ac:dyDescent="0.2">
      <c r="A25" s="57" t="s">
        <v>374</v>
      </c>
      <c r="B25" s="57" t="s">
        <v>374</v>
      </c>
      <c r="C25" s="67" t="s">
        <v>351</v>
      </c>
      <c r="D25" s="67" t="s">
        <v>148</v>
      </c>
      <c r="E25" s="67">
        <v>2</v>
      </c>
      <c r="F25" s="67" t="s">
        <v>126</v>
      </c>
      <c r="G25" s="67">
        <v>1</v>
      </c>
      <c r="H25" s="67" t="s">
        <v>125</v>
      </c>
      <c r="I25" s="60" t="s">
        <v>124</v>
      </c>
      <c r="J25" s="68" t="str">
        <f t="shared" si="0"/>
        <v>CM CF B Show Flat</v>
      </c>
      <c r="K25" s="69" t="str">
        <f t="shared" si="1"/>
        <v>CM CF B2 Brickwork</v>
      </c>
      <c r="L25" s="70" t="str">
        <f t="shared" si="2"/>
        <v>CM CF B2-1 Bricks/Blocks</v>
      </c>
      <c r="M25" s="71" t="str">
        <f t="shared" si="3"/>
        <v>CM PL B Show Flat</v>
      </c>
      <c r="N25" s="72" t="str">
        <f t="shared" si="4"/>
        <v>CM PL B2 Brickwork</v>
      </c>
      <c r="O25" s="73" t="str">
        <f t="shared" si="5"/>
        <v>CM PL B2-1 Bricks/Blocks</v>
      </c>
      <c r="P25" s="104"/>
    </row>
    <row r="26" spans="1:16" s="74" customFormat="1" x14ac:dyDescent="0.2">
      <c r="A26" s="57" t="s">
        <v>374</v>
      </c>
      <c r="B26" s="57" t="s">
        <v>374</v>
      </c>
      <c r="C26" s="67" t="s">
        <v>351</v>
      </c>
      <c r="D26" s="67" t="s">
        <v>148</v>
      </c>
      <c r="E26" s="67">
        <v>2</v>
      </c>
      <c r="F26" s="67" t="s">
        <v>126</v>
      </c>
      <c r="G26" s="67">
        <v>2</v>
      </c>
      <c r="H26" s="67" t="s">
        <v>123</v>
      </c>
      <c r="I26" s="60" t="s">
        <v>122</v>
      </c>
      <c r="J26" s="68" t="str">
        <f t="shared" si="0"/>
        <v>CM CF B Show Flat</v>
      </c>
      <c r="K26" s="69" t="str">
        <f t="shared" si="1"/>
        <v>CM CF B2 Brickwork</v>
      </c>
      <c r="L26" s="70" t="str">
        <f t="shared" si="2"/>
        <v>CM CF B2-2 Mortar</v>
      </c>
      <c r="M26" s="71" t="str">
        <f t="shared" si="3"/>
        <v>CM PL B Show Flat</v>
      </c>
      <c r="N26" s="72" t="str">
        <f t="shared" si="4"/>
        <v>CM PL B2 Brickwork</v>
      </c>
      <c r="O26" s="73" t="str">
        <f t="shared" si="5"/>
        <v>CM PL B2-2 Mortar</v>
      </c>
      <c r="P26" s="104"/>
    </row>
    <row r="27" spans="1:16" s="74" customFormat="1" x14ac:dyDescent="0.2">
      <c r="A27" s="57" t="s">
        <v>374</v>
      </c>
      <c r="B27" s="57" t="s">
        <v>374</v>
      </c>
      <c r="C27" s="67" t="s">
        <v>351</v>
      </c>
      <c r="D27" s="67" t="s">
        <v>148</v>
      </c>
      <c r="E27" s="67">
        <v>2</v>
      </c>
      <c r="F27" s="67" t="s">
        <v>126</v>
      </c>
      <c r="G27" s="67">
        <v>3</v>
      </c>
      <c r="H27" s="67" t="s">
        <v>121</v>
      </c>
      <c r="I27" s="60" t="s">
        <v>120</v>
      </c>
      <c r="J27" s="68" t="str">
        <f t="shared" si="0"/>
        <v>CM CF B Show Flat</v>
      </c>
      <c r="K27" s="69" t="str">
        <f t="shared" si="1"/>
        <v>CM CF B2 Brickwork</v>
      </c>
      <c r="L27" s="70" t="str">
        <f t="shared" si="2"/>
        <v>CM CF B2-3 Brickwork Labour</v>
      </c>
      <c r="M27" s="71" t="str">
        <f t="shared" si="3"/>
        <v>CM PL B Show Flat</v>
      </c>
      <c r="N27" s="72" t="str">
        <f t="shared" si="4"/>
        <v>CM PL B2 Brickwork</v>
      </c>
      <c r="O27" s="73" t="str">
        <f t="shared" si="5"/>
        <v>CM PL B2-3 Brickwork Labour</v>
      </c>
      <c r="P27" s="104"/>
    </row>
    <row r="28" spans="1:16" s="74" customFormat="1" x14ac:dyDescent="0.2">
      <c r="A28" s="57" t="s">
        <v>374</v>
      </c>
      <c r="B28" s="57" t="s">
        <v>374</v>
      </c>
      <c r="C28" s="67" t="s">
        <v>351</v>
      </c>
      <c r="D28" s="67" t="s">
        <v>148</v>
      </c>
      <c r="E28" s="67">
        <v>3</v>
      </c>
      <c r="F28" s="67" t="s">
        <v>119</v>
      </c>
      <c r="G28" s="67">
        <v>1</v>
      </c>
      <c r="H28" s="67" t="s">
        <v>118</v>
      </c>
      <c r="I28" s="60" t="s">
        <v>117</v>
      </c>
      <c r="J28" s="68" t="str">
        <f t="shared" si="0"/>
        <v>CM CF B Show Flat</v>
      </c>
      <c r="K28" s="69" t="str">
        <f t="shared" si="1"/>
        <v>CM CF B3 Internal Plaster</v>
      </c>
      <c r="L28" s="70" t="str">
        <f t="shared" si="2"/>
        <v>CM CF B3-1 Plaster Material</v>
      </c>
      <c r="M28" s="71" t="str">
        <f t="shared" si="3"/>
        <v>CM PL B Show Flat</v>
      </c>
      <c r="N28" s="72" t="str">
        <f t="shared" si="4"/>
        <v>CM PL B3 Internal Plaster</v>
      </c>
      <c r="O28" s="73" t="str">
        <f t="shared" si="5"/>
        <v>CM PL B3-1 Plaster Material</v>
      </c>
      <c r="P28" s="104"/>
    </row>
    <row r="29" spans="1:16" s="74" customFormat="1" x14ac:dyDescent="0.2">
      <c r="A29" s="57" t="s">
        <v>374</v>
      </c>
      <c r="B29" s="57" t="s">
        <v>374</v>
      </c>
      <c r="C29" s="67" t="s">
        <v>351</v>
      </c>
      <c r="D29" s="67" t="s">
        <v>148</v>
      </c>
      <c r="E29" s="67">
        <v>3</v>
      </c>
      <c r="F29" s="67" t="s">
        <v>119</v>
      </c>
      <c r="G29" s="67">
        <v>2</v>
      </c>
      <c r="H29" s="67" t="s">
        <v>116</v>
      </c>
      <c r="I29" s="60" t="s">
        <v>115</v>
      </c>
      <c r="J29" s="68" t="str">
        <f t="shared" si="0"/>
        <v>CM CF B Show Flat</v>
      </c>
      <c r="K29" s="69" t="str">
        <f t="shared" si="1"/>
        <v>CM CF B3 Internal Plaster</v>
      </c>
      <c r="L29" s="70" t="str">
        <f t="shared" si="2"/>
        <v>CM CF B3-2 Plaster Labour</v>
      </c>
      <c r="M29" s="71" t="str">
        <f t="shared" si="3"/>
        <v>CM PL B Show Flat</v>
      </c>
      <c r="N29" s="72" t="str">
        <f t="shared" si="4"/>
        <v>CM PL B3 Internal Plaster</v>
      </c>
      <c r="O29" s="73" t="str">
        <f t="shared" si="5"/>
        <v>CM PL B3-2 Plaster Labour</v>
      </c>
      <c r="P29" s="104"/>
    </row>
    <row r="30" spans="1:16" s="74" customFormat="1" x14ac:dyDescent="0.2">
      <c r="A30" s="57" t="s">
        <v>374</v>
      </c>
      <c r="B30" s="57" t="s">
        <v>374</v>
      </c>
      <c r="C30" s="67" t="s">
        <v>351</v>
      </c>
      <c r="D30" s="67" t="s">
        <v>148</v>
      </c>
      <c r="E30" s="67">
        <v>4</v>
      </c>
      <c r="F30" s="67" t="s">
        <v>114</v>
      </c>
      <c r="G30" s="67">
        <v>1</v>
      </c>
      <c r="H30" s="67" t="s">
        <v>113</v>
      </c>
      <c r="I30" s="60" t="s">
        <v>112</v>
      </c>
      <c r="J30" s="68" t="str">
        <f t="shared" si="0"/>
        <v>CM CF B Show Flat</v>
      </c>
      <c r="K30" s="69" t="str">
        <f t="shared" si="1"/>
        <v>CM CF B4 External Plaster</v>
      </c>
      <c r="L30" s="70" t="str">
        <f t="shared" si="2"/>
        <v>CM CF B4-1 External Plaster Material</v>
      </c>
      <c r="M30" s="71" t="str">
        <f t="shared" si="3"/>
        <v>CM PL B Show Flat</v>
      </c>
      <c r="N30" s="72" t="str">
        <f t="shared" si="4"/>
        <v>CM PL B4 External Plaster</v>
      </c>
      <c r="O30" s="73" t="str">
        <f t="shared" si="5"/>
        <v>CM PL B4-1 External Plaster Material</v>
      </c>
      <c r="P30" s="104"/>
    </row>
    <row r="31" spans="1:16" s="74" customFormat="1" x14ac:dyDescent="0.2">
      <c r="A31" s="57" t="s">
        <v>374</v>
      </c>
      <c r="B31" s="57" t="s">
        <v>374</v>
      </c>
      <c r="C31" s="67" t="s">
        <v>351</v>
      </c>
      <c r="D31" s="67" t="s">
        <v>148</v>
      </c>
      <c r="E31" s="67">
        <v>4</v>
      </c>
      <c r="F31" s="67" t="s">
        <v>114</v>
      </c>
      <c r="G31" s="67">
        <v>2</v>
      </c>
      <c r="H31" s="67" t="s">
        <v>111</v>
      </c>
      <c r="I31" s="60" t="s">
        <v>110</v>
      </c>
      <c r="J31" s="68" t="str">
        <f t="shared" si="0"/>
        <v>CM CF B Show Flat</v>
      </c>
      <c r="K31" s="69" t="str">
        <f t="shared" si="1"/>
        <v>CM CF B4 External Plaster</v>
      </c>
      <c r="L31" s="70" t="str">
        <f t="shared" si="2"/>
        <v>CM CF B4-2 External Plaster Labour</v>
      </c>
      <c r="M31" s="71" t="str">
        <f t="shared" si="3"/>
        <v>CM PL B Show Flat</v>
      </c>
      <c r="N31" s="72" t="str">
        <f t="shared" si="4"/>
        <v>CM PL B4 External Plaster</v>
      </c>
      <c r="O31" s="73" t="str">
        <f t="shared" si="5"/>
        <v>CM PL B4-2 External Plaster Labour</v>
      </c>
      <c r="P31" s="104"/>
    </row>
    <row r="32" spans="1:16" s="74" customFormat="1" x14ac:dyDescent="0.2">
      <c r="A32" s="57" t="s">
        <v>374</v>
      </c>
      <c r="B32" s="57" t="s">
        <v>374</v>
      </c>
      <c r="C32" s="67" t="s">
        <v>351</v>
      </c>
      <c r="D32" s="67" t="s">
        <v>148</v>
      </c>
      <c r="E32" s="67">
        <v>5</v>
      </c>
      <c r="F32" s="67" t="s">
        <v>109</v>
      </c>
      <c r="G32" s="67">
        <v>1</v>
      </c>
      <c r="H32" s="67" t="s">
        <v>108</v>
      </c>
      <c r="I32" s="60" t="s">
        <v>107</v>
      </c>
      <c r="J32" s="68" t="str">
        <f t="shared" si="0"/>
        <v>CM CF B Show Flat</v>
      </c>
      <c r="K32" s="69" t="str">
        <f t="shared" si="1"/>
        <v>CM CF B5 Flooring</v>
      </c>
      <c r="L32" s="70" t="str">
        <f t="shared" si="2"/>
        <v>CM CF B5-1 Tiles</v>
      </c>
      <c r="M32" s="71" t="str">
        <f t="shared" si="3"/>
        <v>CM PL B Show Flat</v>
      </c>
      <c r="N32" s="72" t="str">
        <f t="shared" si="4"/>
        <v>CM PL B5 Flooring</v>
      </c>
      <c r="O32" s="73" t="str">
        <f t="shared" si="5"/>
        <v>CM PL B5-1 Tiles</v>
      </c>
      <c r="P32" s="104"/>
    </row>
    <row r="33" spans="1:16" s="74" customFormat="1" x14ac:dyDescent="0.2">
      <c r="A33" s="57" t="s">
        <v>374</v>
      </c>
      <c r="B33" s="57" t="s">
        <v>374</v>
      </c>
      <c r="C33" s="67" t="s">
        <v>351</v>
      </c>
      <c r="D33" s="67" t="s">
        <v>148</v>
      </c>
      <c r="E33" s="67">
        <v>5</v>
      </c>
      <c r="F33" s="67" t="s">
        <v>109</v>
      </c>
      <c r="G33" s="67">
        <v>2</v>
      </c>
      <c r="H33" s="67" t="s">
        <v>106</v>
      </c>
      <c r="I33" s="60" t="s">
        <v>105</v>
      </c>
      <c r="J33" s="68" t="str">
        <f t="shared" si="0"/>
        <v>CM CF B Show Flat</v>
      </c>
      <c r="K33" s="69" t="str">
        <f t="shared" si="1"/>
        <v>CM CF B5 Flooring</v>
      </c>
      <c r="L33" s="70" t="str">
        <f t="shared" si="2"/>
        <v>CM CF B5-2 Marble/Granite</v>
      </c>
      <c r="M33" s="71" t="str">
        <f t="shared" si="3"/>
        <v>CM PL B Show Flat</v>
      </c>
      <c r="N33" s="72" t="str">
        <f t="shared" si="4"/>
        <v>CM PL B5 Flooring</v>
      </c>
      <c r="O33" s="73" t="str">
        <f t="shared" si="5"/>
        <v>CM PL B5-2 Marble/Granite</v>
      </c>
      <c r="P33" s="104"/>
    </row>
    <row r="34" spans="1:16" s="74" customFormat="1" x14ac:dyDescent="0.2">
      <c r="A34" s="57" t="s">
        <v>374</v>
      </c>
      <c r="B34" s="57" t="s">
        <v>374</v>
      </c>
      <c r="C34" s="67" t="s">
        <v>351</v>
      </c>
      <c r="D34" s="67" t="s">
        <v>148</v>
      </c>
      <c r="E34" s="67">
        <v>5</v>
      </c>
      <c r="F34" s="67" t="s">
        <v>109</v>
      </c>
      <c r="G34" s="67">
        <v>3</v>
      </c>
      <c r="H34" s="67" t="s">
        <v>104</v>
      </c>
      <c r="I34" s="60" t="s">
        <v>103</v>
      </c>
      <c r="J34" s="68" t="str">
        <f t="shared" si="0"/>
        <v>CM CF B Show Flat</v>
      </c>
      <c r="K34" s="69" t="str">
        <f t="shared" si="1"/>
        <v>CM CF B5 Flooring</v>
      </c>
      <c r="L34" s="70" t="str">
        <f t="shared" si="2"/>
        <v>CM CF B5-3 Flooring Labour</v>
      </c>
      <c r="M34" s="71" t="str">
        <f t="shared" si="3"/>
        <v>CM PL B Show Flat</v>
      </c>
      <c r="N34" s="72" t="str">
        <f t="shared" si="4"/>
        <v>CM PL B5 Flooring</v>
      </c>
      <c r="O34" s="73" t="str">
        <f t="shared" si="5"/>
        <v>CM PL B5-3 Flooring Labour</v>
      </c>
      <c r="P34" s="104"/>
    </row>
    <row r="35" spans="1:16" s="74" customFormat="1" x14ac:dyDescent="0.2">
      <c r="A35" s="57" t="s">
        <v>374</v>
      </c>
      <c r="B35" s="57" t="s">
        <v>374</v>
      </c>
      <c r="C35" s="67" t="s">
        <v>351</v>
      </c>
      <c r="D35" s="67" t="s">
        <v>148</v>
      </c>
      <c r="E35" s="67">
        <v>6</v>
      </c>
      <c r="F35" s="67" t="s">
        <v>101</v>
      </c>
      <c r="G35" s="67">
        <v>1</v>
      </c>
      <c r="H35" s="67" t="s">
        <v>100</v>
      </c>
      <c r="I35" s="60" t="s">
        <v>99</v>
      </c>
      <c r="J35" s="68" t="str">
        <f t="shared" si="0"/>
        <v>CM CF B Show Flat</v>
      </c>
      <c r="K35" s="69" t="str">
        <f t="shared" si="1"/>
        <v>CM CF B6 Doors &amp; Windows</v>
      </c>
      <c r="L35" s="70" t="str">
        <f t="shared" si="2"/>
        <v>CM CF B6-1 Door Frames</v>
      </c>
      <c r="M35" s="71" t="str">
        <f t="shared" si="3"/>
        <v>CM PL B Show Flat</v>
      </c>
      <c r="N35" s="72" t="str">
        <f t="shared" si="4"/>
        <v>CM PL B6 Doors &amp; Windows</v>
      </c>
      <c r="O35" s="73" t="str">
        <f t="shared" si="5"/>
        <v>CM PL B6-1 Door Frames</v>
      </c>
      <c r="P35" s="104"/>
    </row>
    <row r="36" spans="1:16" s="74" customFormat="1" x14ac:dyDescent="0.2">
      <c r="A36" s="57" t="s">
        <v>374</v>
      </c>
      <c r="B36" s="57" t="s">
        <v>374</v>
      </c>
      <c r="C36" s="67" t="s">
        <v>351</v>
      </c>
      <c r="D36" s="67" t="s">
        <v>148</v>
      </c>
      <c r="E36" s="67">
        <v>6</v>
      </c>
      <c r="F36" s="67" t="s">
        <v>101</v>
      </c>
      <c r="G36" s="67">
        <v>2</v>
      </c>
      <c r="H36" s="67" t="s">
        <v>98</v>
      </c>
      <c r="I36" s="60" t="s">
        <v>97</v>
      </c>
      <c r="J36" s="68" t="str">
        <f t="shared" si="0"/>
        <v>CM CF B Show Flat</v>
      </c>
      <c r="K36" s="69" t="str">
        <f t="shared" si="1"/>
        <v>CM CF B6 Doors &amp; Windows</v>
      </c>
      <c r="L36" s="70" t="str">
        <f t="shared" si="2"/>
        <v>CM CF B6-2 Door Shutters</v>
      </c>
      <c r="M36" s="71" t="str">
        <f t="shared" si="3"/>
        <v>CM PL B Show Flat</v>
      </c>
      <c r="N36" s="72" t="str">
        <f t="shared" si="4"/>
        <v>CM PL B6 Doors &amp; Windows</v>
      </c>
      <c r="O36" s="73" t="str">
        <f t="shared" si="5"/>
        <v>CM PL B6-2 Door Shutters</v>
      </c>
      <c r="P36" s="104"/>
    </row>
    <row r="37" spans="1:16" s="74" customFormat="1" x14ac:dyDescent="0.2">
      <c r="A37" s="57" t="s">
        <v>374</v>
      </c>
      <c r="B37" s="57" t="s">
        <v>374</v>
      </c>
      <c r="C37" s="67" t="s">
        <v>351</v>
      </c>
      <c r="D37" s="67" t="s">
        <v>148</v>
      </c>
      <c r="E37" s="67">
        <v>6</v>
      </c>
      <c r="F37" s="67" t="s">
        <v>101</v>
      </c>
      <c r="G37" s="67">
        <v>3</v>
      </c>
      <c r="H37" s="67" t="s">
        <v>96</v>
      </c>
      <c r="I37" s="60" t="s">
        <v>95</v>
      </c>
      <c r="J37" s="68" t="str">
        <f t="shared" si="0"/>
        <v>CM CF B Show Flat</v>
      </c>
      <c r="K37" s="69" t="str">
        <f t="shared" si="1"/>
        <v>CM CF B6 Doors &amp; Windows</v>
      </c>
      <c r="L37" s="70" t="str">
        <f t="shared" si="2"/>
        <v>CM CF B6-3 Window Frames</v>
      </c>
      <c r="M37" s="71" t="str">
        <f t="shared" si="3"/>
        <v>CM PL B Show Flat</v>
      </c>
      <c r="N37" s="72" t="str">
        <f t="shared" si="4"/>
        <v>CM PL B6 Doors &amp; Windows</v>
      </c>
      <c r="O37" s="73" t="str">
        <f t="shared" si="5"/>
        <v>CM PL B6-3 Window Frames</v>
      </c>
      <c r="P37" s="104"/>
    </row>
    <row r="38" spans="1:16" s="74" customFormat="1" x14ac:dyDescent="0.2">
      <c r="A38" s="57" t="s">
        <v>374</v>
      </c>
      <c r="B38" s="57" t="s">
        <v>374</v>
      </c>
      <c r="C38" s="67" t="s">
        <v>351</v>
      </c>
      <c r="D38" s="67" t="s">
        <v>148</v>
      </c>
      <c r="E38" s="67">
        <v>6</v>
      </c>
      <c r="F38" s="67" t="s">
        <v>101</v>
      </c>
      <c r="G38" s="67">
        <v>4</v>
      </c>
      <c r="H38" s="67" t="s">
        <v>94</v>
      </c>
      <c r="I38" s="60" t="s">
        <v>92</v>
      </c>
      <c r="J38" s="68" t="str">
        <f t="shared" si="0"/>
        <v>CM CF B Show Flat</v>
      </c>
      <c r="K38" s="69" t="str">
        <f t="shared" si="1"/>
        <v>CM CF B6 Doors &amp; Windows</v>
      </c>
      <c r="L38" s="70" t="str">
        <f t="shared" si="2"/>
        <v>CM CF B6-4 Glass</v>
      </c>
      <c r="M38" s="71" t="str">
        <f t="shared" si="3"/>
        <v>CM PL B Show Flat</v>
      </c>
      <c r="N38" s="72" t="str">
        <f t="shared" si="4"/>
        <v>CM PL B6 Doors &amp; Windows</v>
      </c>
      <c r="O38" s="73" t="str">
        <f t="shared" si="5"/>
        <v>CM PL B6-4 Glass</v>
      </c>
      <c r="P38" s="104"/>
    </row>
    <row r="39" spans="1:16" s="74" customFormat="1" x14ac:dyDescent="0.2">
      <c r="A39" s="57" t="s">
        <v>374</v>
      </c>
      <c r="B39" s="57" t="s">
        <v>374</v>
      </c>
      <c r="C39" s="67" t="s">
        <v>351</v>
      </c>
      <c r="D39" s="67" t="s">
        <v>148</v>
      </c>
      <c r="E39" s="67">
        <v>6</v>
      </c>
      <c r="F39" s="67" t="s">
        <v>101</v>
      </c>
      <c r="G39" s="67">
        <v>5</v>
      </c>
      <c r="H39" s="67" t="s">
        <v>147</v>
      </c>
      <c r="I39" s="60" t="s">
        <v>146</v>
      </c>
      <c r="J39" s="68" t="str">
        <f t="shared" si="0"/>
        <v>CM CF B Show Flat</v>
      </c>
      <c r="K39" s="69" t="str">
        <f t="shared" si="1"/>
        <v>CM CF B6 Doors &amp; Windows</v>
      </c>
      <c r="L39" s="70" t="str">
        <f t="shared" si="2"/>
        <v xml:space="preserve">CM CF B6-5 Alluminium and fabrication </v>
      </c>
      <c r="M39" s="71" t="str">
        <f t="shared" si="3"/>
        <v>CM PL B Show Flat</v>
      </c>
      <c r="N39" s="72" t="str">
        <f t="shared" si="4"/>
        <v>CM PL B6 Doors &amp; Windows</v>
      </c>
      <c r="O39" s="73" t="str">
        <f t="shared" si="5"/>
        <v xml:space="preserve">CM PL B6-5 Alluminium and fabrication </v>
      </c>
      <c r="P39" s="104"/>
    </row>
    <row r="40" spans="1:16" s="74" customFormat="1" x14ac:dyDescent="0.2">
      <c r="A40" s="57" t="s">
        <v>374</v>
      </c>
      <c r="B40" s="57" t="s">
        <v>374</v>
      </c>
      <c r="C40" s="67" t="s">
        <v>351</v>
      </c>
      <c r="D40" s="67" t="s">
        <v>148</v>
      </c>
      <c r="E40" s="67">
        <v>7</v>
      </c>
      <c r="F40" s="67" t="s">
        <v>91</v>
      </c>
      <c r="G40" s="67">
        <v>1</v>
      </c>
      <c r="H40" s="67" t="s">
        <v>90</v>
      </c>
      <c r="I40" s="60" t="s">
        <v>89</v>
      </c>
      <c r="J40" s="68" t="str">
        <f t="shared" si="0"/>
        <v>CM CF B Show Flat</v>
      </c>
      <c r="K40" s="69" t="str">
        <f t="shared" si="1"/>
        <v>CM CF B7 Electrical</v>
      </c>
      <c r="L40" s="70" t="str">
        <f t="shared" si="2"/>
        <v>CM CF B7-1 Wires</v>
      </c>
      <c r="M40" s="71" t="str">
        <f t="shared" si="3"/>
        <v>CM PL B Show Flat</v>
      </c>
      <c r="N40" s="72" t="str">
        <f t="shared" si="4"/>
        <v>CM PL B7 Electrical</v>
      </c>
      <c r="O40" s="73" t="str">
        <f t="shared" si="5"/>
        <v>CM PL B7-1 Wires</v>
      </c>
      <c r="P40" s="104"/>
    </row>
    <row r="41" spans="1:16" s="74" customFormat="1" x14ac:dyDescent="0.2">
      <c r="A41" s="57" t="s">
        <v>374</v>
      </c>
      <c r="B41" s="57" t="s">
        <v>374</v>
      </c>
      <c r="C41" s="67" t="s">
        <v>351</v>
      </c>
      <c r="D41" s="67" t="s">
        <v>148</v>
      </c>
      <c r="E41" s="67">
        <v>7</v>
      </c>
      <c r="F41" s="67" t="s">
        <v>91</v>
      </c>
      <c r="G41" s="67">
        <v>2</v>
      </c>
      <c r="H41" s="67" t="s">
        <v>88</v>
      </c>
      <c r="I41" s="60" t="s">
        <v>87</v>
      </c>
      <c r="J41" s="68" t="str">
        <f t="shared" si="0"/>
        <v>CM CF B Show Flat</v>
      </c>
      <c r="K41" s="69" t="str">
        <f t="shared" si="1"/>
        <v>CM CF B7 Electrical</v>
      </c>
      <c r="L41" s="70" t="str">
        <f t="shared" si="2"/>
        <v>CM CF B7-2 Switches</v>
      </c>
      <c r="M41" s="71" t="str">
        <f t="shared" si="3"/>
        <v>CM PL B Show Flat</v>
      </c>
      <c r="N41" s="72" t="str">
        <f t="shared" si="4"/>
        <v>CM PL B7 Electrical</v>
      </c>
      <c r="O41" s="73" t="str">
        <f t="shared" si="5"/>
        <v>CM PL B7-2 Switches</v>
      </c>
      <c r="P41" s="104"/>
    </row>
    <row r="42" spans="1:16" s="74" customFormat="1" x14ac:dyDescent="0.2">
      <c r="A42" s="57" t="s">
        <v>374</v>
      </c>
      <c r="B42" s="57" t="s">
        <v>374</v>
      </c>
      <c r="C42" s="67" t="s">
        <v>351</v>
      </c>
      <c r="D42" s="67" t="s">
        <v>148</v>
      </c>
      <c r="E42" s="67">
        <v>7</v>
      </c>
      <c r="F42" s="67" t="s">
        <v>91</v>
      </c>
      <c r="G42" s="67">
        <v>3</v>
      </c>
      <c r="H42" s="67" t="s">
        <v>86</v>
      </c>
      <c r="I42" s="60" t="s">
        <v>85</v>
      </c>
      <c r="J42" s="68" t="str">
        <f t="shared" si="0"/>
        <v>CM CF B Show Flat</v>
      </c>
      <c r="K42" s="69" t="str">
        <f t="shared" si="1"/>
        <v>CM CF B7 Electrical</v>
      </c>
      <c r="L42" s="70" t="str">
        <f t="shared" si="2"/>
        <v>CM CF B7-3 DB Panels</v>
      </c>
      <c r="M42" s="71" t="str">
        <f t="shared" si="3"/>
        <v>CM PL B Show Flat</v>
      </c>
      <c r="N42" s="72" t="str">
        <f t="shared" si="4"/>
        <v>CM PL B7 Electrical</v>
      </c>
      <c r="O42" s="73" t="str">
        <f t="shared" si="5"/>
        <v>CM PL B7-3 DB Panels</v>
      </c>
      <c r="P42" s="104"/>
    </row>
    <row r="43" spans="1:16" s="74" customFormat="1" x14ac:dyDescent="0.2">
      <c r="A43" s="57" t="s">
        <v>374</v>
      </c>
      <c r="B43" s="57" t="s">
        <v>374</v>
      </c>
      <c r="C43" s="67" t="s">
        <v>351</v>
      </c>
      <c r="D43" s="67" t="s">
        <v>148</v>
      </c>
      <c r="E43" s="67">
        <v>7</v>
      </c>
      <c r="F43" s="67" t="s">
        <v>91</v>
      </c>
      <c r="G43" s="67">
        <v>4</v>
      </c>
      <c r="H43" s="67" t="s">
        <v>84</v>
      </c>
      <c r="I43" s="60" t="s">
        <v>82</v>
      </c>
      <c r="J43" s="68" t="str">
        <f t="shared" si="0"/>
        <v>CM CF B Show Flat</v>
      </c>
      <c r="K43" s="69" t="str">
        <f t="shared" si="1"/>
        <v>CM CF B7 Electrical</v>
      </c>
      <c r="L43" s="70" t="str">
        <f t="shared" si="2"/>
        <v>CM CF B7-4 Electrical Labour</v>
      </c>
      <c r="M43" s="71" t="str">
        <f t="shared" si="3"/>
        <v>CM PL B Show Flat</v>
      </c>
      <c r="N43" s="72" t="str">
        <f t="shared" si="4"/>
        <v>CM PL B7 Electrical</v>
      </c>
      <c r="O43" s="73" t="str">
        <f t="shared" si="5"/>
        <v>CM PL B7-4 Electrical Labour</v>
      </c>
      <c r="P43" s="104"/>
    </row>
    <row r="44" spans="1:16" s="74" customFormat="1" x14ac:dyDescent="0.2">
      <c r="A44" s="57" t="s">
        <v>374</v>
      </c>
      <c r="B44" s="57" t="s">
        <v>374</v>
      </c>
      <c r="C44" s="67" t="s">
        <v>351</v>
      </c>
      <c r="D44" s="67" t="s">
        <v>148</v>
      </c>
      <c r="E44" s="67">
        <v>7</v>
      </c>
      <c r="F44" s="67" t="s">
        <v>91</v>
      </c>
      <c r="G44" s="67">
        <v>5</v>
      </c>
      <c r="H44" s="67" t="s">
        <v>83</v>
      </c>
      <c r="I44" s="60" t="s">
        <v>82</v>
      </c>
      <c r="J44" s="68" t="str">
        <f t="shared" si="0"/>
        <v>CM CF B Show Flat</v>
      </c>
      <c r="K44" s="69" t="str">
        <f t="shared" si="1"/>
        <v>CM CF B7 Electrical</v>
      </c>
      <c r="L44" s="70" t="str">
        <f t="shared" si="2"/>
        <v>CM CF B7-5 Lights</v>
      </c>
      <c r="M44" s="71" t="str">
        <f t="shared" si="3"/>
        <v>CM PL B Show Flat</v>
      </c>
      <c r="N44" s="72" t="str">
        <f t="shared" si="4"/>
        <v>CM PL B7 Electrical</v>
      </c>
      <c r="O44" s="73" t="str">
        <f t="shared" si="5"/>
        <v>CM PL B7-5 Lights</v>
      </c>
      <c r="P44" s="104"/>
    </row>
    <row r="45" spans="1:16" s="74" customFormat="1" x14ac:dyDescent="0.2">
      <c r="A45" s="57" t="s">
        <v>374</v>
      </c>
      <c r="B45" s="57" t="s">
        <v>374</v>
      </c>
      <c r="C45" s="67" t="s">
        <v>351</v>
      </c>
      <c r="D45" s="67" t="s">
        <v>148</v>
      </c>
      <c r="E45" s="67">
        <v>7</v>
      </c>
      <c r="F45" s="67" t="s">
        <v>91</v>
      </c>
      <c r="G45" s="67">
        <v>6</v>
      </c>
      <c r="H45" s="67" t="s">
        <v>81</v>
      </c>
      <c r="I45" s="60"/>
      <c r="J45" s="68" t="str">
        <f t="shared" si="0"/>
        <v>CM CF B Show Flat</v>
      </c>
      <c r="K45" s="69" t="str">
        <f t="shared" si="1"/>
        <v>CM CF B7 Electrical</v>
      </c>
      <c r="L45" s="70" t="str">
        <f t="shared" si="2"/>
        <v>CM CF B7-6 Other Electric &amp; Hardware Material</v>
      </c>
      <c r="M45" s="71" t="str">
        <f t="shared" si="3"/>
        <v>CM PL B Show Flat</v>
      </c>
      <c r="N45" s="72" t="str">
        <f t="shared" si="4"/>
        <v>CM PL B7 Electrical</v>
      </c>
      <c r="O45" s="73" t="str">
        <f t="shared" si="5"/>
        <v>CM PL B7-6 Other Electric &amp; Hardware Material</v>
      </c>
      <c r="P45" s="104"/>
    </row>
    <row r="46" spans="1:16" s="74" customFormat="1" x14ac:dyDescent="0.2">
      <c r="A46" s="57" t="s">
        <v>374</v>
      </c>
      <c r="B46" s="57" t="s">
        <v>374</v>
      </c>
      <c r="C46" s="67" t="s">
        <v>351</v>
      </c>
      <c r="D46" s="67" t="s">
        <v>148</v>
      </c>
      <c r="E46" s="67">
        <v>8</v>
      </c>
      <c r="F46" s="67" t="s">
        <v>80</v>
      </c>
      <c r="G46" s="67">
        <v>1</v>
      </c>
      <c r="H46" s="67" t="s">
        <v>79</v>
      </c>
      <c r="I46" s="60" t="s">
        <v>78</v>
      </c>
      <c r="J46" s="68" t="str">
        <f t="shared" si="0"/>
        <v>CM CF B Show Flat</v>
      </c>
      <c r="K46" s="69" t="str">
        <f t="shared" si="1"/>
        <v>CM CF B8 Plumbing</v>
      </c>
      <c r="L46" s="70" t="str">
        <f t="shared" si="2"/>
        <v>CM CF B8-1 Pipes</v>
      </c>
      <c r="M46" s="71" t="str">
        <f t="shared" si="3"/>
        <v>CM PL B Show Flat</v>
      </c>
      <c r="N46" s="72" t="str">
        <f t="shared" si="4"/>
        <v>CM PL B8 Plumbing</v>
      </c>
      <c r="O46" s="73" t="str">
        <f t="shared" si="5"/>
        <v>CM PL B8-1 Pipes</v>
      </c>
      <c r="P46" s="104"/>
    </row>
    <row r="47" spans="1:16" s="74" customFormat="1" x14ac:dyDescent="0.2">
      <c r="A47" s="57" t="s">
        <v>374</v>
      </c>
      <c r="B47" s="57" t="s">
        <v>374</v>
      </c>
      <c r="C47" s="67" t="s">
        <v>351</v>
      </c>
      <c r="D47" s="67" t="s">
        <v>148</v>
      </c>
      <c r="E47" s="67">
        <v>8</v>
      </c>
      <c r="F47" s="67" t="s">
        <v>80</v>
      </c>
      <c r="G47" s="67">
        <v>2</v>
      </c>
      <c r="H47" s="67" t="s">
        <v>77</v>
      </c>
      <c r="I47" s="60" t="s">
        <v>76</v>
      </c>
      <c r="J47" s="68" t="str">
        <f t="shared" si="0"/>
        <v>CM CF B Show Flat</v>
      </c>
      <c r="K47" s="69" t="str">
        <f t="shared" si="1"/>
        <v>CM CF B8 Plumbing</v>
      </c>
      <c r="L47" s="70" t="str">
        <f t="shared" si="2"/>
        <v>CM CF B8-2 Fittings</v>
      </c>
      <c r="M47" s="71" t="str">
        <f t="shared" si="3"/>
        <v>CM PL B Show Flat</v>
      </c>
      <c r="N47" s="72" t="str">
        <f t="shared" si="4"/>
        <v>CM PL B8 Plumbing</v>
      </c>
      <c r="O47" s="73" t="str">
        <f t="shared" si="5"/>
        <v>CM PL B8-2 Fittings</v>
      </c>
      <c r="P47" s="104"/>
    </row>
    <row r="48" spans="1:16" s="74" customFormat="1" x14ac:dyDescent="0.2">
      <c r="A48" s="57" t="s">
        <v>374</v>
      </c>
      <c r="B48" s="57" t="s">
        <v>374</v>
      </c>
      <c r="C48" s="67" t="s">
        <v>351</v>
      </c>
      <c r="D48" s="67" t="s">
        <v>148</v>
      </c>
      <c r="E48" s="67">
        <v>8</v>
      </c>
      <c r="F48" s="67" t="s">
        <v>80</v>
      </c>
      <c r="G48" s="67">
        <v>3</v>
      </c>
      <c r="H48" s="67" t="s">
        <v>75</v>
      </c>
      <c r="I48" s="60" t="s">
        <v>74</v>
      </c>
      <c r="J48" s="68" t="str">
        <f t="shared" si="0"/>
        <v>CM CF B Show Flat</v>
      </c>
      <c r="K48" s="69" t="str">
        <f t="shared" si="1"/>
        <v>CM CF B8 Plumbing</v>
      </c>
      <c r="L48" s="70" t="str">
        <f t="shared" si="2"/>
        <v>CM CF B8-3 Plumbing Labour</v>
      </c>
      <c r="M48" s="71" t="str">
        <f t="shared" si="3"/>
        <v>CM PL B Show Flat</v>
      </c>
      <c r="N48" s="72" t="str">
        <f t="shared" si="4"/>
        <v>CM PL B8 Plumbing</v>
      </c>
      <c r="O48" s="73" t="str">
        <f t="shared" si="5"/>
        <v>CM PL B8-3 Plumbing Labour</v>
      </c>
      <c r="P48" s="104"/>
    </row>
    <row r="49" spans="1:16" s="74" customFormat="1" x14ac:dyDescent="0.2">
      <c r="A49" s="57" t="s">
        <v>374</v>
      </c>
      <c r="B49" s="57" t="s">
        <v>374</v>
      </c>
      <c r="C49" s="67" t="s">
        <v>351</v>
      </c>
      <c r="D49" s="67" t="s">
        <v>148</v>
      </c>
      <c r="E49" s="67">
        <v>9</v>
      </c>
      <c r="F49" s="67" t="s">
        <v>73</v>
      </c>
      <c r="G49" s="67">
        <v>1</v>
      </c>
      <c r="H49" s="67" t="s">
        <v>72</v>
      </c>
      <c r="I49" s="60" t="s">
        <v>71</v>
      </c>
      <c r="J49" s="68" t="str">
        <f t="shared" si="0"/>
        <v>CM CF B Show Flat</v>
      </c>
      <c r="K49" s="69" t="str">
        <f t="shared" si="1"/>
        <v>CM CF B9 Waterproofing</v>
      </c>
      <c r="L49" s="70" t="str">
        <f t="shared" si="2"/>
        <v>CM CF B9-1 Chemical Waterproofing</v>
      </c>
      <c r="M49" s="71" t="str">
        <f t="shared" si="3"/>
        <v>CM PL B Show Flat</v>
      </c>
      <c r="N49" s="72" t="str">
        <f t="shared" si="4"/>
        <v>CM PL B9 Waterproofing</v>
      </c>
      <c r="O49" s="73" t="str">
        <f t="shared" si="5"/>
        <v>CM PL B9-1 Chemical Waterproofing</v>
      </c>
      <c r="P49" s="104"/>
    </row>
    <row r="50" spans="1:16" s="74" customFormat="1" x14ac:dyDescent="0.2">
      <c r="A50" s="57" t="s">
        <v>374</v>
      </c>
      <c r="B50" s="57" t="s">
        <v>374</v>
      </c>
      <c r="C50" s="67" t="s">
        <v>351</v>
      </c>
      <c r="D50" s="67" t="s">
        <v>148</v>
      </c>
      <c r="E50" s="67">
        <v>9</v>
      </c>
      <c r="F50" s="67" t="s">
        <v>73</v>
      </c>
      <c r="G50" s="67">
        <v>2</v>
      </c>
      <c r="H50" s="67" t="s">
        <v>70</v>
      </c>
      <c r="I50" s="60" t="s">
        <v>69</v>
      </c>
      <c r="J50" s="68" t="str">
        <f t="shared" si="0"/>
        <v>CM CF B Show Flat</v>
      </c>
      <c r="K50" s="69" t="str">
        <f t="shared" si="1"/>
        <v>CM CF B9 Waterproofing</v>
      </c>
      <c r="L50" s="70" t="str">
        <f t="shared" si="2"/>
        <v>CM CF B9-2 Waterproofing Labour</v>
      </c>
      <c r="M50" s="71" t="str">
        <f t="shared" si="3"/>
        <v>CM PL B Show Flat</v>
      </c>
      <c r="N50" s="72" t="str">
        <f t="shared" si="4"/>
        <v>CM PL B9 Waterproofing</v>
      </c>
      <c r="O50" s="73" t="str">
        <f t="shared" si="5"/>
        <v>CM PL B9-2 Waterproofing Labour</v>
      </c>
      <c r="P50" s="104"/>
    </row>
    <row r="51" spans="1:16" s="74" customFormat="1" x14ac:dyDescent="0.2">
      <c r="A51" s="57" t="s">
        <v>374</v>
      </c>
      <c r="B51" s="57" t="s">
        <v>374</v>
      </c>
      <c r="C51" s="67" t="s">
        <v>351</v>
      </c>
      <c r="D51" s="67" t="s">
        <v>148</v>
      </c>
      <c r="E51" s="67">
        <v>10</v>
      </c>
      <c r="F51" s="67" t="s">
        <v>68</v>
      </c>
      <c r="G51" s="67">
        <v>1</v>
      </c>
      <c r="H51" s="67" t="s">
        <v>67</v>
      </c>
      <c r="I51" s="60" t="s">
        <v>66</v>
      </c>
      <c r="J51" s="68" t="str">
        <f t="shared" si="0"/>
        <v>CM CF B Show Flat</v>
      </c>
      <c r="K51" s="69" t="str">
        <f t="shared" si="1"/>
        <v>CM CF B10 Painting</v>
      </c>
      <c r="L51" s="70" t="str">
        <f t="shared" si="2"/>
        <v>CM CF B10-1 Primer</v>
      </c>
      <c r="M51" s="71" t="str">
        <f t="shared" si="3"/>
        <v>CM PL B Show Flat</v>
      </c>
      <c r="N51" s="72" t="str">
        <f t="shared" si="4"/>
        <v>CM PL B10 Painting</v>
      </c>
      <c r="O51" s="73" t="str">
        <f t="shared" si="5"/>
        <v>CM PL B10-1 Primer</v>
      </c>
      <c r="P51" s="104"/>
    </row>
    <row r="52" spans="1:16" s="74" customFormat="1" x14ac:dyDescent="0.2">
      <c r="A52" s="57" t="s">
        <v>374</v>
      </c>
      <c r="B52" s="57" t="s">
        <v>374</v>
      </c>
      <c r="C52" s="67" t="s">
        <v>351</v>
      </c>
      <c r="D52" s="67" t="s">
        <v>148</v>
      </c>
      <c r="E52" s="67">
        <v>10</v>
      </c>
      <c r="F52" s="67" t="s">
        <v>68</v>
      </c>
      <c r="G52" s="67">
        <v>2</v>
      </c>
      <c r="H52" s="67" t="s">
        <v>65</v>
      </c>
      <c r="I52" s="60" t="s">
        <v>64</v>
      </c>
      <c r="J52" s="68" t="str">
        <f t="shared" si="0"/>
        <v>CM CF B Show Flat</v>
      </c>
      <c r="K52" s="69" t="str">
        <f t="shared" si="1"/>
        <v>CM CF B10 Painting</v>
      </c>
      <c r="L52" s="70" t="str">
        <f t="shared" si="2"/>
        <v>CM CF B10-2 Paint</v>
      </c>
      <c r="M52" s="71" t="str">
        <f t="shared" si="3"/>
        <v>CM PL B Show Flat</v>
      </c>
      <c r="N52" s="72" t="str">
        <f t="shared" si="4"/>
        <v>CM PL B10 Painting</v>
      </c>
      <c r="O52" s="73" t="str">
        <f t="shared" si="5"/>
        <v>CM PL B10-2 Paint</v>
      </c>
      <c r="P52" s="104"/>
    </row>
    <row r="53" spans="1:16" s="74" customFormat="1" x14ac:dyDescent="0.2">
      <c r="A53" s="57" t="s">
        <v>374</v>
      </c>
      <c r="B53" s="57" t="s">
        <v>374</v>
      </c>
      <c r="C53" s="67" t="s">
        <v>351</v>
      </c>
      <c r="D53" s="67" t="s">
        <v>148</v>
      </c>
      <c r="E53" s="67">
        <v>10</v>
      </c>
      <c r="F53" s="67" t="s">
        <v>68</v>
      </c>
      <c r="G53" s="67">
        <v>3</v>
      </c>
      <c r="H53" s="67" t="s">
        <v>63</v>
      </c>
      <c r="I53" s="60" t="s">
        <v>62</v>
      </c>
      <c r="J53" s="68" t="str">
        <f t="shared" si="0"/>
        <v>CM CF B Show Flat</v>
      </c>
      <c r="K53" s="69" t="str">
        <f t="shared" si="1"/>
        <v>CM CF B10 Painting</v>
      </c>
      <c r="L53" s="70" t="str">
        <f t="shared" si="2"/>
        <v>CM CF B10-3 Painting Labour</v>
      </c>
      <c r="M53" s="71" t="str">
        <f t="shared" si="3"/>
        <v>CM PL B Show Flat</v>
      </c>
      <c r="N53" s="72" t="str">
        <f t="shared" si="4"/>
        <v>CM PL B10 Painting</v>
      </c>
      <c r="O53" s="73" t="str">
        <f t="shared" si="5"/>
        <v>CM PL B10-3 Painting Labour</v>
      </c>
      <c r="P53" s="104"/>
    </row>
    <row r="54" spans="1:16" s="74" customFormat="1" x14ac:dyDescent="0.2">
      <c r="A54" s="57" t="s">
        <v>374</v>
      </c>
      <c r="B54" s="57" t="s">
        <v>374</v>
      </c>
      <c r="C54" s="67" t="s">
        <v>351</v>
      </c>
      <c r="D54" s="67" t="s">
        <v>148</v>
      </c>
      <c r="E54" s="67">
        <v>11</v>
      </c>
      <c r="F54" s="67" t="s">
        <v>61</v>
      </c>
      <c r="G54" s="67">
        <v>1</v>
      </c>
      <c r="H54" s="67" t="s">
        <v>61</v>
      </c>
      <c r="I54" s="60" t="s">
        <v>60</v>
      </c>
      <c r="J54" s="68" t="str">
        <f t="shared" si="0"/>
        <v>CM CF B Show Flat</v>
      </c>
      <c r="K54" s="69" t="str">
        <f t="shared" si="1"/>
        <v>CM CF B11 Furniture/Equipments</v>
      </c>
      <c r="L54" s="70" t="str">
        <f t="shared" si="2"/>
        <v>CM CF B11-1 Furniture/Equipments</v>
      </c>
      <c r="M54" s="71" t="str">
        <f t="shared" si="3"/>
        <v>CM PL B Show Flat</v>
      </c>
      <c r="N54" s="72" t="str">
        <f t="shared" si="4"/>
        <v>CM PL B11 Furniture/Equipments</v>
      </c>
      <c r="O54" s="73" t="str">
        <f t="shared" si="5"/>
        <v>CM PL B11-1 Furniture/Equipments</v>
      </c>
      <c r="P54" s="104"/>
    </row>
    <row r="55" spans="1:16" s="74" customFormat="1" x14ac:dyDescent="0.2">
      <c r="A55" s="57" t="s">
        <v>374</v>
      </c>
      <c r="B55" s="57" t="s">
        <v>374</v>
      </c>
      <c r="C55" s="67" t="s">
        <v>351</v>
      </c>
      <c r="D55" s="67" t="s">
        <v>148</v>
      </c>
      <c r="E55" s="67">
        <v>11</v>
      </c>
      <c r="F55" s="67" t="s">
        <v>61</v>
      </c>
      <c r="G55" s="67">
        <v>2</v>
      </c>
      <c r="H55" s="67" t="s">
        <v>59</v>
      </c>
      <c r="I55" s="60" t="s">
        <v>145</v>
      </c>
      <c r="J55" s="68" t="str">
        <f t="shared" si="0"/>
        <v>CM CF B Show Flat</v>
      </c>
      <c r="K55" s="69" t="str">
        <f t="shared" si="1"/>
        <v>CM CF B11 Furniture/Equipments</v>
      </c>
      <c r="L55" s="70" t="str">
        <f t="shared" si="2"/>
        <v>CM CF B11-2 POP</v>
      </c>
      <c r="M55" s="71" t="str">
        <f t="shared" si="3"/>
        <v>CM PL B Show Flat</v>
      </c>
      <c r="N55" s="72" t="str">
        <f t="shared" si="4"/>
        <v>CM PL B11 Furniture/Equipments</v>
      </c>
      <c r="O55" s="73" t="str">
        <f t="shared" si="5"/>
        <v>CM PL B11-2 POP</v>
      </c>
      <c r="P55" s="104"/>
    </row>
    <row r="56" spans="1:16" s="74" customFormat="1" x14ac:dyDescent="0.2">
      <c r="A56" s="57" t="s">
        <v>374</v>
      </c>
      <c r="B56" s="57" t="s">
        <v>374</v>
      </c>
      <c r="C56" s="67" t="s">
        <v>351</v>
      </c>
      <c r="D56" s="67" t="s">
        <v>148</v>
      </c>
      <c r="E56" s="67">
        <v>11</v>
      </c>
      <c r="F56" s="67" t="s">
        <v>61</v>
      </c>
      <c r="G56" s="67">
        <v>3</v>
      </c>
      <c r="H56" s="67" t="s">
        <v>144</v>
      </c>
      <c r="I56" s="60"/>
      <c r="J56" s="68" t="str">
        <f t="shared" si="0"/>
        <v>CM CF B Show Flat</v>
      </c>
      <c r="K56" s="69" t="str">
        <f t="shared" si="1"/>
        <v>CM CF B11 Furniture/Equipments</v>
      </c>
      <c r="L56" s="70" t="str">
        <f t="shared" si="2"/>
        <v>CM CF B11-3 Fabric Naturalia</v>
      </c>
      <c r="M56" s="71" t="str">
        <f t="shared" si="3"/>
        <v>CM PL B Show Flat</v>
      </c>
      <c r="N56" s="72" t="str">
        <f t="shared" si="4"/>
        <v>CM PL B11 Furniture/Equipments</v>
      </c>
      <c r="O56" s="73" t="str">
        <f t="shared" si="5"/>
        <v>CM PL B11-3 Fabric Naturalia</v>
      </c>
      <c r="P56" s="104"/>
    </row>
    <row r="57" spans="1:16" s="74" customFormat="1" x14ac:dyDescent="0.2">
      <c r="A57" s="57" t="s">
        <v>374</v>
      </c>
      <c r="B57" s="57" t="s">
        <v>374</v>
      </c>
      <c r="C57" s="67" t="s">
        <v>340</v>
      </c>
      <c r="D57" s="67" t="s">
        <v>142</v>
      </c>
      <c r="E57" s="67">
        <v>1</v>
      </c>
      <c r="F57" s="67" t="s">
        <v>141</v>
      </c>
      <c r="G57" s="67">
        <v>1</v>
      </c>
      <c r="H57" s="67" t="s">
        <v>140</v>
      </c>
      <c r="I57" s="60"/>
      <c r="J57" s="68" t="str">
        <f t="shared" si="0"/>
        <v>CM CF C Sales Office</v>
      </c>
      <c r="K57" s="69" t="str">
        <f t="shared" si="1"/>
        <v>CM CF C1 RCC Structure</v>
      </c>
      <c r="L57" s="70" t="str">
        <f t="shared" si="2"/>
        <v>CM CF C1-1 Steel</v>
      </c>
      <c r="M57" s="71" t="str">
        <f t="shared" si="3"/>
        <v>CM PL C Sales Office</v>
      </c>
      <c r="N57" s="72" t="str">
        <f t="shared" si="4"/>
        <v>CM PL C1 RCC Structure</v>
      </c>
      <c r="O57" s="73" t="str">
        <f t="shared" si="5"/>
        <v>CM PL C1-1 Steel</v>
      </c>
      <c r="P57" s="104"/>
    </row>
    <row r="58" spans="1:16" s="74" customFormat="1" x14ac:dyDescent="0.2">
      <c r="A58" s="57" t="s">
        <v>374</v>
      </c>
      <c r="B58" s="57" t="s">
        <v>374</v>
      </c>
      <c r="C58" s="67" t="s">
        <v>340</v>
      </c>
      <c r="D58" s="67" t="s">
        <v>142</v>
      </c>
      <c r="E58" s="67">
        <v>1</v>
      </c>
      <c r="F58" s="67" t="s">
        <v>141</v>
      </c>
      <c r="G58" s="67">
        <v>2</v>
      </c>
      <c r="H58" s="67" t="s">
        <v>138</v>
      </c>
      <c r="I58" s="60"/>
      <c r="J58" s="68" t="str">
        <f t="shared" si="0"/>
        <v>CM CF C Sales Office</v>
      </c>
      <c r="K58" s="69" t="str">
        <f t="shared" si="1"/>
        <v>CM CF C1 RCC Structure</v>
      </c>
      <c r="L58" s="70" t="str">
        <f t="shared" si="2"/>
        <v>CM CF C1-2 Cement</v>
      </c>
      <c r="M58" s="71" t="str">
        <f t="shared" si="3"/>
        <v>CM PL C Sales Office</v>
      </c>
      <c r="N58" s="72" t="str">
        <f t="shared" si="4"/>
        <v>CM PL C1 RCC Structure</v>
      </c>
      <c r="O58" s="73" t="str">
        <f t="shared" si="5"/>
        <v>CM PL C1-2 Cement</v>
      </c>
      <c r="P58" s="104"/>
    </row>
    <row r="59" spans="1:16" s="74" customFormat="1" x14ac:dyDescent="0.2">
      <c r="A59" s="57" t="s">
        <v>374</v>
      </c>
      <c r="B59" s="57" t="s">
        <v>374</v>
      </c>
      <c r="C59" s="67" t="s">
        <v>340</v>
      </c>
      <c r="D59" s="67" t="s">
        <v>142</v>
      </c>
      <c r="E59" s="67">
        <v>1</v>
      </c>
      <c r="F59" s="67" t="s">
        <v>141</v>
      </c>
      <c r="G59" s="67">
        <v>3</v>
      </c>
      <c r="H59" s="67" t="s">
        <v>136</v>
      </c>
      <c r="I59" s="60"/>
      <c r="J59" s="68" t="str">
        <f t="shared" si="0"/>
        <v>CM CF C Sales Office</v>
      </c>
      <c r="K59" s="69" t="str">
        <f t="shared" si="1"/>
        <v>CM CF C1 RCC Structure</v>
      </c>
      <c r="L59" s="70" t="str">
        <f t="shared" si="2"/>
        <v>CM CF C1-3 Sand</v>
      </c>
      <c r="M59" s="71" t="str">
        <f t="shared" si="3"/>
        <v>CM PL C Sales Office</v>
      </c>
      <c r="N59" s="72" t="str">
        <f t="shared" si="4"/>
        <v>CM PL C1 RCC Structure</v>
      </c>
      <c r="O59" s="73" t="str">
        <f t="shared" si="5"/>
        <v>CM PL C1-3 Sand</v>
      </c>
      <c r="P59" s="104"/>
    </row>
    <row r="60" spans="1:16" s="74" customFormat="1" x14ac:dyDescent="0.2">
      <c r="A60" s="57" t="s">
        <v>374</v>
      </c>
      <c r="B60" s="57" t="s">
        <v>374</v>
      </c>
      <c r="C60" s="67" t="s">
        <v>340</v>
      </c>
      <c r="D60" s="67" t="s">
        <v>142</v>
      </c>
      <c r="E60" s="67">
        <v>1</v>
      </c>
      <c r="F60" s="67" t="s">
        <v>141</v>
      </c>
      <c r="G60" s="67">
        <v>4</v>
      </c>
      <c r="H60" s="67" t="s">
        <v>134</v>
      </c>
      <c r="I60" s="60"/>
      <c r="J60" s="68" t="str">
        <f t="shared" si="0"/>
        <v>CM CF C Sales Office</v>
      </c>
      <c r="K60" s="69" t="str">
        <f t="shared" si="1"/>
        <v>CM CF C1 RCC Structure</v>
      </c>
      <c r="L60" s="70" t="str">
        <f t="shared" si="2"/>
        <v>CM CF C1-4 Aggregate</v>
      </c>
      <c r="M60" s="71" t="str">
        <f t="shared" si="3"/>
        <v>CM PL C Sales Office</v>
      </c>
      <c r="N60" s="72" t="str">
        <f t="shared" si="4"/>
        <v>CM PL C1 RCC Structure</v>
      </c>
      <c r="O60" s="73" t="str">
        <f t="shared" si="5"/>
        <v>CM PL C1-4 Aggregate</v>
      </c>
      <c r="P60" s="104"/>
    </row>
    <row r="61" spans="1:16" s="74" customFormat="1" x14ac:dyDescent="0.2">
      <c r="A61" s="57" t="s">
        <v>374</v>
      </c>
      <c r="B61" s="57" t="s">
        <v>374</v>
      </c>
      <c r="C61" s="67" t="s">
        <v>340</v>
      </c>
      <c r="D61" s="67" t="s">
        <v>142</v>
      </c>
      <c r="E61" s="67">
        <v>1</v>
      </c>
      <c r="F61" s="67" t="s">
        <v>141</v>
      </c>
      <c r="G61" s="67">
        <v>5</v>
      </c>
      <c r="H61" s="67" t="s">
        <v>132</v>
      </c>
      <c r="I61" s="60"/>
      <c r="J61" s="68" t="str">
        <f t="shared" si="0"/>
        <v>CM CF C Sales Office</v>
      </c>
      <c r="K61" s="69" t="str">
        <f t="shared" si="1"/>
        <v>CM CF C1 RCC Structure</v>
      </c>
      <c r="L61" s="70" t="str">
        <f t="shared" si="2"/>
        <v>CM CF C1-5 RCC Labour</v>
      </c>
      <c r="M61" s="71" t="str">
        <f t="shared" si="3"/>
        <v>CM PL C Sales Office</v>
      </c>
      <c r="N61" s="72" t="str">
        <f t="shared" si="4"/>
        <v>CM PL C1 RCC Structure</v>
      </c>
      <c r="O61" s="73" t="str">
        <f t="shared" si="5"/>
        <v>CM PL C1-5 RCC Labour</v>
      </c>
      <c r="P61" s="104"/>
    </row>
    <row r="62" spans="1:16" s="74" customFormat="1" x14ac:dyDescent="0.2">
      <c r="A62" s="57" t="s">
        <v>374</v>
      </c>
      <c r="B62" s="57" t="s">
        <v>374</v>
      </c>
      <c r="C62" s="67" t="s">
        <v>340</v>
      </c>
      <c r="D62" s="67" t="s">
        <v>142</v>
      </c>
      <c r="E62" s="67">
        <v>1</v>
      </c>
      <c r="F62" s="67" t="s">
        <v>141</v>
      </c>
      <c r="G62" s="67">
        <v>6</v>
      </c>
      <c r="H62" s="67" t="s">
        <v>130</v>
      </c>
      <c r="I62" s="60"/>
      <c r="J62" s="68" t="str">
        <f t="shared" si="0"/>
        <v>CM CF C Sales Office</v>
      </c>
      <c r="K62" s="69" t="str">
        <f t="shared" si="1"/>
        <v>CM CF C1 RCC Structure</v>
      </c>
      <c r="L62" s="70" t="str">
        <f t="shared" si="2"/>
        <v>CM CF C1-6 Shuttering</v>
      </c>
      <c r="M62" s="71" t="str">
        <f t="shared" si="3"/>
        <v>CM PL C Sales Office</v>
      </c>
      <c r="N62" s="72" t="str">
        <f t="shared" si="4"/>
        <v>CM PL C1 RCC Structure</v>
      </c>
      <c r="O62" s="73" t="str">
        <f t="shared" si="5"/>
        <v>CM PL C1-6 Shuttering</v>
      </c>
      <c r="P62" s="104"/>
    </row>
    <row r="63" spans="1:16" s="74" customFormat="1" x14ac:dyDescent="0.2">
      <c r="A63" s="57" t="s">
        <v>374</v>
      </c>
      <c r="B63" s="57" t="s">
        <v>374</v>
      </c>
      <c r="C63" s="67" t="s">
        <v>340</v>
      </c>
      <c r="D63" s="67" t="s">
        <v>142</v>
      </c>
      <c r="E63" s="67">
        <v>1</v>
      </c>
      <c r="F63" s="67" t="s">
        <v>141</v>
      </c>
      <c r="G63" s="67">
        <v>7</v>
      </c>
      <c r="H63" s="67" t="s">
        <v>128</v>
      </c>
      <c r="I63" s="60"/>
      <c r="J63" s="68" t="str">
        <f t="shared" si="0"/>
        <v>CM CF C Sales Office</v>
      </c>
      <c r="K63" s="69" t="str">
        <f t="shared" si="1"/>
        <v>CM CF C1 RCC Structure</v>
      </c>
      <c r="L63" s="70" t="str">
        <f t="shared" si="2"/>
        <v>CM CF C1-7 Concrete Pump</v>
      </c>
      <c r="M63" s="71" t="str">
        <f t="shared" si="3"/>
        <v>CM PL C Sales Office</v>
      </c>
      <c r="N63" s="72" t="str">
        <f t="shared" si="4"/>
        <v>CM PL C1 RCC Structure</v>
      </c>
      <c r="O63" s="73" t="str">
        <f t="shared" si="5"/>
        <v>CM PL C1-7 Concrete Pump</v>
      </c>
      <c r="P63" s="104"/>
    </row>
    <row r="64" spans="1:16" s="74" customFormat="1" x14ac:dyDescent="0.2">
      <c r="A64" s="57" t="s">
        <v>374</v>
      </c>
      <c r="B64" s="57" t="s">
        <v>374</v>
      </c>
      <c r="C64" s="67" t="s">
        <v>340</v>
      </c>
      <c r="D64" s="67" t="s">
        <v>142</v>
      </c>
      <c r="E64" s="67">
        <v>2</v>
      </c>
      <c r="F64" s="67" t="s">
        <v>126</v>
      </c>
      <c r="G64" s="67">
        <v>1</v>
      </c>
      <c r="H64" s="67" t="s">
        <v>125</v>
      </c>
      <c r="I64" s="60"/>
      <c r="J64" s="68" t="str">
        <f t="shared" si="0"/>
        <v>CM CF C Sales Office</v>
      </c>
      <c r="K64" s="69" t="str">
        <f t="shared" si="1"/>
        <v>CM CF C2 Brickwork</v>
      </c>
      <c r="L64" s="70" t="str">
        <f t="shared" si="2"/>
        <v>CM CF C2-1 Bricks/Blocks</v>
      </c>
      <c r="M64" s="71" t="str">
        <f t="shared" si="3"/>
        <v>CM PL C Sales Office</v>
      </c>
      <c r="N64" s="72" t="str">
        <f t="shared" si="4"/>
        <v>CM PL C2 Brickwork</v>
      </c>
      <c r="O64" s="73" t="str">
        <f t="shared" si="5"/>
        <v>CM PL C2-1 Bricks/Blocks</v>
      </c>
      <c r="P64" s="104"/>
    </row>
    <row r="65" spans="1:16" s="74" customFormat="1" x14ac:dyDescent="0.2">
      <c r="A65" s="57" t="s">
        <v>374</v>
      </c>
      <c r="B65" s="57" t="s">
        <v>374</v>
      </c>
      <c r="C65" s="67" t="s">
        <v>340</v>
      </c>
      <c r="D65" s="67" t="s">
        <v>142</v>
      </c>
      <c r="E65" s="67">
        <v>2</v>
      </c>
      <c r="F65" s="67" t="s">
        <v>126</v>
      </c>
      <c r="G65" s="67">
        <v>2</v>
      </c>
      <c r="H65" s="67" t="s">
        <v>123</v>
      </c>
      <c r="I65" s="60"/>
      <c r="J65" s="68" t="str">
        <f t="shared" si="0"/>
        <v>CM CF C Sales Office</v>
      </c>
      <c r="K65" s="69" t="str">
        <f t="shared" si="1"/>
        <v>CM CF C2 Brickwork</v>
      </c>
      <c r="L65" s="70" t="str">
        <f t="shared" si="2"/>
        <v>CM CF C2-2 Mortar</v>
      </c>
      <c r="M65" s="71" t="str">
        <f t="shared" si="3"/>
        <v>CM PL C Sales Office</v>
      </c>
      <c r="N65" s="72" t="str">
        <f t="shared" si="4"/>
        <v>CM PL C2 Brickwork</v>
      </c>
      <c r="O65" s="73" t="str">
        <f t="shared" si="5"/>
        <v>CM PL C2-2 Mortar</v>
      </c>
      <c r="P65" s="104"/>
    </row>
    <row r="66" spans="1:16" s="74" customFormat="1" x14ac:dyDescent="0.2">
      <c r="A66" s="57" t="s">
        <v>374</v>
      </c>
      <c r="B66" s="57" t="s">
        <v>374</v>
      </c>
      <c r="C66" s="67" t="s">
        <v>340</v>
      </c>
      <c r="D66" s="67" t="s">
        <v>142</v>
      </c>
      <c r="E66" s="67">
        <v>2</v>
      </c>
      <c r="F66" s="67" t="s">
        <v>126</v>
      </c>
      <c r="G66" s="67">
        <v>3</v>
      </c>
      <c r="H66" s="67" t="s">
        <v>121</v>
      </c>
      <c r="I66" s="60"/>
      <c r="J66" s="68" t="str">
        <f t="shared" si="0"/>
        <v>CM CF C Sales Office</v>
      </c>
      <c r="K66" s="69" t="str">
        <f t="shared" si="1"/>
        <v>CM CF C2 Brickwork</v>
      </c>
      <c r="L66" s="70" t="str">
        <f t="shared" si="2"/>
        <v>CM CF C2-3 Brickwork Labour</v>
      </c>
      <c r="M66" s="71" t="str">
        <f t="shared" si="3"/>
        <v>CM PL C Sales Office</v>
      </c>
      <c r="N66" s="72" t="str">
        <f t="shared" si="4"/>
        <v>CM PL C2 Brickwork</v>
      </c>
      <c r="O66" s="73" t="str">
        <f t="shared" si="5"/>
        <v>CM PL C2-3 Brickwork Labour</v>
      </c>
      <c r="P66" s="104"/>
    </row>
    <row r="67" spans="1:16" s="74" customFormat="1" x14ac:dyDescent="0.2">
      <c r="A67" s="57" t="s">
        <v>374</v>
      </c>
      <c r="B67" s="57" t="s">
        <v>374</v>
      </c>
      <c r="C67" s="67" t="s">
        <v>340</v>
      </c>
      <c r="D67" s="67" t="s">
        <v>142</v>
      </c>
      <c r="E67" s="67">
        <v>3</v>
      </c>
      <c r="F67" s="67" t="s">
        <v>119</v>
      </c>
      <c r="G67" s="67">
        <v>1</v>
      </c>
      <c r="H67" s="67" t="s">
        <v>118</v>
      </c>
      <c r="I67" s="60"/>
      <c r="J67" s="68" t="str">
        <f t="shared" si="0"/>
        <v>CM CF C Sales Office</v>
      </c>
      <c r="K67" s="69" t="str">
        <f t="shared" si="1"/>
        <v>CM CF C3 Internal Plaster</v>
      </c>
      <c r="L67" s="70" t="str">
        <f t="shared" si="2"/>
        <v>CM CF C3-1 Plaster Material</v>
      </c>
      <c r="M67" s="71" t="str">
        <f t="shared" si="3"/>
        <v>CM PL C Sales Office</v>
      </c>
      <c r="N67" s="72" t="str">
        <f t="shared" si="4"/>
        <v>CM PL C3 Internal Plaster</v>
      </c>
      <c r="O67" s="73" t="str">
        <f t="shared" si="5"/>
        <v>CM PL C3-1 Plaster Material</v>
      </c>
      <c r="P67" s="104"/>
    </row>
    <row r="68" spans="1:16" s="74" customFormat="1" x14ac:dyDescent="0.2">
      <c r="A68" s="57" t="s">
        <v>374</v>
      </c>
      <c r="B68" s="57" t="s">
        <v>374</v>
      </c>
      <c r="C68" s="67" t="s">
        <v>340</v>
      </c>
      <c r="D68" s="67" t="s">
        <v>142</v>
      </c>
      <c r="E68" s="67">
        <v>3</v>
      </c>
      <c r="F68" s="67" t="s">
        <v>119</v>
      </c>
      <c r="G68" s="67">
        <v>2</v>
      </c>
      <c r="H68" s="67" t="s">
        <v>116</v>
      </c>
      <c r="I68" s="60"/>
      <c r="J68" s="68" t="str">
        <f t="shared" si="0"/>
        <v>CM CF C Sales Office</v>
      </c>
      <c r="K68" s="69" t="str">
        <f t="shared" si="1"/>
        <v>CM CF C3 Internal Plaster</v>
      </c>
      <c r="L68" s="70" t="str">
        <f t="shared" si="2"/>
        <v>CM CF C3-2 Plaster Labour</v>
      </c>
      <c r="M68" s="71" t="str">
        <f t="shared" si="3"/>
        <v>CM PL C Sales Office</v>
      </c>
      <c r="N68" s="72" t="str">
        <f t="shared" si="4"/>
        <v>CM PL C3 Internal Plaster</v>
      </c>
      <c r="O68" s="73" t="str">
        <f t="shared" si="5"/>
        <v>CM PL C3-2 Plaster Labour</v>
      </c>
      <c r="P68" s="104"/>
    </row>
    <row r="69" spans="1:16" s="74" customFormat="1" x14ac:dyDescent="0.2">
      <c r="A69" s="57" t="s">
        <v>374</v>
      </c>
      <c r="B69" s="57" t="s">
        <v>374</v>
      </c>
      <c r="C69" s="67" t="s">
        <v>340</v>
      </c>
      <c r="D69" s="67" t="s">
        <v>142</v>
      </c>
      <c r="E69" s="67">
        <v>4</v>
      </c>
      <c r="F69" s="67" t="s">
        <v>114</v>
      </c>
      <c r="G69" s="67">
        <v>1</v>
      </c>
      <c r="H69" s="67" t="s">
        <v>113</v>
      </c>
      <c r="I69" s="60"/>
      <c r="J69" s="68" t="str">
        <f t="shared" si="0"/>
        <v>CM CF C Sales Office</v>
      </c>
      <c r="K69" s="69" t="str">
        <f t="shared" si="1"/>
        <v>CM CF C4 External Plaster</v>
      </c>
      <c r="L69" s="70" t="str">
        <f t="shared" si="2"/>
        <v>CM CF C4-1 External Plaster Material</v>
      </c>
      <c r="M69" s="71" t="str">
        <f t="shared" si="3"/>
        <v>CM PL C Sales Office</v>
      </c>
      <c r="N69" s="72" t="str">
        <f t="shared" si="4"/>
        <v>CM PL C4 External Plaster</v>
      </c>
      <c r="O69" s="73" t="str">
        <f t="shared" si="5"/>
        <v>CM PL C4-1 External Plaster Material</v>
      </c>
      <c r="P69" s="104"/>
    </row>
    <row r="70" spans="1:16" s="74" customFormat="1" x14ac:dyDescent="0.2">
      <c r="A70" s="57" t="s">
        <v>374</v>
      </c>
      <c r="B70" s="57" t="s">
        <v>374</v>
      </c>
      <c r="C70" s="67" t="s">
        <v>340</v>
      </c>
      <c r="D70" s="67" t="s">
        <v>142</v>
      </c>
      <c r="E70" s="67">
        <v>4</v>
      </c>
      <c r="F70" s="67" t="s">
        <v>114</v>
      </c>
      <c r="G70" s="67">
        <v>2</v>
      </c>
      <c r="H70" s="67" t="s">
        <v>111</v>
      </c>
      <c r="I70" s="60"/>
      <c r="J70" s="68" t="str">
        <f t="shared" si="0"/>
        <v>CM CF C Sales Office</v>
      </c>
      <c r="K70" s="69" t="str">
        <f t="shared" si="1"/>
        <v>CM CF C4 External Plaster</v>
      </c>
      <c r="L70" s="70" t="str">
        <f t="shared" si="2"/>
        <v>CM CF C4-2 External Plaster Labour</v>
      </c>
      <c r="M70" s="71" t="str">
        <f t="shared" si="3"/>
        <v>CM PL C Sales Office</v>
      </c>
      <c r="N70" s="72" t="str">
        <f t="shared" si="4"/>
        <v>CM PL C4 External Plaster</v>
      </c>
      <c r="O70" s="73" t="str">
        <f t="shared" si="5"/>
        <v>CM PL C4-2 External Plaster Labour</v>
      </c>
      <c r="P70" s="104"/>
    </row>
    <row r="71" spans="1:16" s="74" customFormat="1" x14ac:dyDescent="0.2">
      <c r="A71" s="57" t="s">
        <v>374</v>
      </c>
      <c r="B71" s="57" t="s">
        <v>374</v>
      </c>
      <c r="C71" s="67" t="s">
        <v>340</v>
      </c>
      <c r="D71" s="67" t="s">
        <v>142</v>
      </c>
      <c r="E71" s="67">
        <v>5</v>
      </c>
      <c r="F71" s="67" t="s">
        <v>109</v>
      </c>
      <c r="G71" s="67">
        <v>1</v>
      </c>
      <c r="H71" s="67" t="s">
        <v>108</v>
      </c>
      <c r="I71" s="60"/>
      <c r="J71" s="68" t="str">
        <f t="shared" si="0"/>
        <v>CM CF C Sales Office</v>
      </c>
      <c r="K71" s="69" t="str">
        <f t="shared" si="1"/>
        <v>CM CF C5 Flooring</v>
      </c>
      <c r="L71" s="70" t="str">
        <f t="shared" si="2"/>
        <v>CM CF C5-1 Tiles</v>
      </c>
      <c r="M71" s="71" t="str">
        <f t="shared" si="3"/>
        <v>CM PL C Sales Office</v>
      </c>
      <c r="N71" s="72" t="str">
        <f t="shared" si="4"/>
        <v>CM PL C5 Flooring</v>
      </c>
      <c r="O71" s="73" t="str">
        <f t="shared" si="5"/>
        <v>CM PL C5-1 Tiles</v>
      </c>
      <c r="P71" s="104"/>
    </row>
    <row r="72" spans="1:16" s="74" customFormat="1" x14ac:dyDescent="0.2">
      <c r="A72" s="57" t="s">
        <v>374</v>
      </c>
      <c r="B72" s="57" t="s">
        <v>374</v>
      </c>
      <c r="C72" s="67" t="s">
        <v>340</v>
      </c>
      <c r="D72" s="67" t="s">
        <v>142</v>
      </c>
      <c r="E72" s="67">
        <v>5</v>
      </c>
      <c r="F72" s="67" t="s">
        <v>109</v>
      </c>
      <c r="G72" s="67">
        <v>2</v>
      </c>
      <c r="H72" s="67" t="s">
        <v>106</v>
      </c>
      <c r="I72" s="60"/>
      <c r="J72" s="68" t="str">
        <f t="shared" si="0"/>
        <v>CM CF C Sales Office</v>
      </c>
      <c r="K72" s="69" t="str">
        <f t="shared" si="1"/>
        <v>CM CF C5 Flooring</v>
      </c>
      <c r="L72" s="70" t="str">
        <f t="shared" si="2"/>
        <v>CM CF C5-2 Marble/Granite</v>
      </c>
      <c r="M72" s="71" t="str">
        <f t="shared" si="3"/>
        <v>CM PL C Sales Office</v>
      </c>
      <c r="N72" s="72" t="str">
        <f t="shared" si="4"/>
        <v>CM PL C5 Flooring</v>
      </c>
      <c r="O72" s="73" t="str">
        <f t="shared" si="5"/>
        <v>CM PL C5-2 Marble/Granite</v>
      </c>
      <c r="P72" s="104"/>
    </row>
    <row r="73" spans="1:16" s="74" customFormat="1" x14ac:dyDescent="0.2">
      <c r="A73" s="57" t="s">
        <v>374</v>
      </c>
      <c r="B73" s="57" t="s">
        <v>374</v>
      </c>
      <c r="C73" s="67" t="s">
        <v>340</v>
      </c>
      <c r="D73" s="67" t="s">
        <v>142</v>
      </c>
      <c r="E73" s="67">
        <v>5</v>
      </c>
      <c r="F73" s="67" t="s">
        <v>109</v>
      </c>
      <c r="G73" s="67">
        <v>3</v>
      </c>
      <c r="H73" s="67" t="s">
        <v>104</v>
      </c>
      <c r="I73" s="60"/>
      <c r="J73" s="68" t="str">
        <f t="shared" si="0"/>
        <v>CM CF C Sales Office</v>
      </c>
      <c r="K73" s="69" t="str">
        <f t="shared" si="1"/>
        <v>CM CF C5 Flooring</v>
      </c>
      <c r="L73" s="70" t="str">
        <f t="shared" si="2"/>
        <v>CM CF C5-3 Flooring Labour</v>
      </c>
      <c r="M73" s="71" t="str">
        <f t="shared" si="3"/>
        <v>CM PL C Sales Office</v>
      </c>
      <c r="N73" s="72" t="str">
        <f t="shared" si="4"/>
        <v>CM PL C5 Flooring</v>
      </c>
      <c r="O73" s="73" t="str">
        <f t="shared" si="5"/>
        <v>CM PL C5-3 Flooring Labour</v>
      </c>
      <c r="P73" s="104"/>
    </row>
    <row r="74" spans="1:16" s="74" customFormat="1" x14ac:dyDescent="0.2">
      <c r="A74" s="57" t="s">
        <v>374</v>
      </c>
      <c r="B74" s="57" t="s">
        <v>374</v>
      </c>
      <c r="C74" s="67" t="s">
        <v>340</v>
      </c>
      <c r="D74" s="67" t="s">
        <v>142</v>
      </c>
      <c r="E74" s="67">
        <v>5</v>
      </c>
      <c r="F74" s="67" t="s">
        <v>109</v>
      </c>
      <c r="G74" s="67">
        <v>4</v>
      </c>
      <c r="H74" s="67" t="s">
        <v>102</v>
      </c>
      <c r="I74" s="60"/>
      <c r="J74" s="68" t="str">
        <f t="shared" si="0"/>
        <v>CM CF C Sales Office</v>
      </c>
      <c r="K74" s="69" t="str">
        <f t="shared" si="1"/>
        <v>CM CF C5 Flooring</v>
      </c>
      <c r="L74" s="70" t="str">
        <f t="shared" si="2"/>
        <v>CM CF C5-4 Single Disc Scrubber</v>
      </c>
      <c r="M74" s="71" t="str">
        <f t="shared" si="3"/>
        <v>CM PL C Sales Office</v>
      </c>
      <c r="N74" s="72" t="str">
        <f t="shared" si="4"/>
        <v>CM PL C5 Flooring</v>
      </c>
      <c r="O74" s="73" t="str">
        <f t="shared" si="5"/>
        <v>CM PL C5-4 Single Disc Scrubber</v>
      </c>
      <c r="P74" s="104"/>
    </row>
    <row r="75" spans="1:16" s="74" customFormat="1" x14ac:dyDescent="0.2">
      <c r="A75" s="57" t="s">
        <v>374</v>
      </c>
      <c r="B75" s="57" t="s">
        <v>374</v>
      </c>
      <c r="C75" s="67" t="s">
        <v>340</v>
      </c>
      <c r="D75" s="67" t="s">
        <v>142</v>
      </c>
      <c r="E75" s="67">
        <v>6</v>
      </c>
      <c r="F75" s="67" t="s">
        <v>101</v>
      </c>
      <c r="G75" s="67">
        <v>1</v>
      </c>
      <c r="H75" s="67" t="s">
        <v>100</v>
      </c>
      <c r="I75" s="60"/>
      <c r="J75" s="68" t="str">
        <f t="shared" si="0"/>
        <v>CM CF C Sales Office</v>
      </c>
      <c r="K75" s="69" t="str">
        <f t="shared" si="1"/>
        <v>CM CF C6 Doors &amp; Windows</v>
      </c>
      <c r="L75" s="70" t="str">
        <f t="shared" si="2"/>
        <v>CM CF C6-1 Door Frames</v>
      </c>
      <c r="M75" s="71" t="str">
        <f t="shared" si="3"/>
        <v>CM PL C Sales Office</v>
      </c>
      <c r="N75" s="72" t="str">
        <f t="shared" si="4"/>
        <v>CM PL C6 Doors &amp; Windows</v>
      </c>
      <c r="O75" s="73" t="str">
        <f t="shared" si="5"/>
        <v>CM PL C6-1 Door Frames</v>
      </c>
      <c r="P75" s="104"/>
    </row>
    <row r="76" spans="1:16" s="74" customFormat="1" x14ac:dyDescent="0.2">
      <c r="A76" s="57" t="s">
        <v>374</v>
      </c>
      <c r="B76" s="57" t="s">
        <v>374</v>
      </c>
      <c r="C76" s="67" t="s">
        <v>340</v>
      </c>
      <c r="D76" s="67" t="s">
        <v>142</v>
      </c>
      <c r="E76" s="67">
        <v>6</v>
      </c>
      <c r="F76" s="67" t="s">
        <v>101</v>
      </c>
      <c r="G76" s="67">
        <v>2</v>
      </c>
      <c r="H76" s="67" t="s">
        <v>98</v>
      </c>
      <c r="I76" s="60"/>
      <c r="J76" s="68" t="str">
        <f t="shared" si="0"/>
        <v>CM CF C Sales Office</v>
      </c>
      <c r="K76" s="69" t="str">
        <f t="shared" si="1"/>
        <v>CM CF C6 Doors &amp; Windows</v>
      </c>
      <c r="L76" s="70" t="str">
        <f t="shared" si="2"/>
        <v>CM CF C6-2 Door Shutters</v>
      </c>
      <c r="M76" s="71" t="str">
        <f t="shared" si="3"/>
        <v>CM PL C Sales Office</v>
      </c>
      <c r="N76" s="72" t="str">
        <f t="shared" si="4"/>
        <v>CM PL C6 Doors &amp; Windows</v>
      </c>
      <c r="O76" s="73" t="str">
        <f t="shared" si="5"/>
        <v>CM PL C6-2 Door Shutters</v>
      </c>
      <c r="P76" s="104"/>
    </row>
    <row r="77" spans="1:16" s="74" customFormat="1" x14ac:dyDescent="0.2">
      <c r="A77" s="57" t="s">
        <v>374</v>
      </c>
      <c r="B77" s="57" t="s">
        <v>374</v>
      </c>
      <c r="C77" s="67" t="s">
        <v>340</v>
      </c>
      <c r="D77" s="67" t="s">
        <v>142</v>
      </c>
      <c r="E77" s="67">
        <v>6</v>
      </c>
      <c r="F77" s="67" t="s">
        <v>101</v>
      </c>
      <c r="G77" s="67">
        <v>3</v>
      </c>
      <c r="H77" s="67" t="s">
        <v>96</v>
      </c>
      <c r="I77" s="60"/>
      <c r="J77" s="68" t="str">
        <f t="shared" si="0"/>
        <v>CM CF C Sales Office</v>
      </c>
      <c r="K77" s="69" t="str">
        <f t="shared" si="1"/>
        <v>CM CF C6 Doors &amp; Windows</v>
      </c>
      <c r="L77" s="70" t="str">
        <f t="shared" si="2"/>
        <v>CM CF C6-3 Window Frames</v>
      </c>
      <c r="M77" s="71" t="str">
        <f t="shared" si="3"/>
        <v>CM PL C Sales Office</v>
      </c>
      <c r="N77" s="72" t="str">
        <f t="shared" si="4"/>
        <v>CM PL C6 Doors &amp; Windows</v>
      </c>
      <c r="O77" s="73" t="str">
        <f t="shared" si="5"/>
        <v>CM PL C6-3 Window Frames</v>
      </c>
      <c r="P77" s="104"/>
    </row>
    <row r="78" spans="1:16" s="74" customFormat="1" x14ac:dyDescent="0.2">
      <c r="A78" s="57" t="s">
        <v>374</v>
      </c>
      <c r="B78" s="57" t="s">
        <v>374</v>
      </c>
      <c r="C78" s="67" t="s">
        <v>340</v>
      </c>
      <c r="D78" s="67" t="s">
        <v>142</v>
      </c>
      <c r="E78" s="67">
        <v>6</v>
      </c>
      <c r="F78" s="67" t="s">
        <v>101</v>
      </c>
      <c r="G78" s="67">
        <v>4</v>
      </c>
      <c r="H78" s="67" t="s">
        <v>94</v>
      </c>
      <c r="I78" s="60"/>
      <c r="J78" s="68" t="str">
        <f t="shared" si="0"/>
        <v>CM CF C Sales Office</v>
      </c>
      <c r="K78" s="69" t="str">
        <f t="shared" si="1"/>
        <v>CM CF C6 Doors &amp; Windows</v>
      </c>
      <c r="L78" s="70" t="str">
        <f t="shared" si="2"/>
        <v>CM CF C6-4 Glass</v>
      </c>
      <c r="M78" s="71" t="str">
        <f t="shared" si="3"/>
        <v>CM PL C Sales Office</v>
      </c>
      <c r="N78" s="72" t="str">
        <f t="shared" si="4"/>
        <v>CM PL C6 Doors &amp; Windows</v>
      </c>
      <c r="O78" s="73" t="str">
        <f t="shared" si="5"/>
        <v>CM PL C6-4 Glass</v>
      </c>
      <c r="P78" s="104"/>
    </row>
    <row r="79" spans="1:16" s="74" customFormat="1" x14ac:dyDescent="0.2">
      <c r="A79" s="57" t="s">
        <v>374</v>
      </c>
      <c r="B79" s="57" t="s">
        <v>374</v>
      </c>
      <c r="C79" s="67" t="s">
        <v>340</v>
      </c>
      <c r="D79" s="67" t="s">
        <v>142</v>
      </c>
      <c r="E79" s="67">
        <v>6</v>
      </c>
      <c r="F79" s="67" t="s">
        <v>101</v>
      </c>
      <c r="G79" s="67">
        <v>5</v>
      </c>
      <c r="H79" s="67" t="s">
        <v>93</v>
      </c>
      <c r="I79" s="60"/>
      <c r="J79" s="68" t="str">
        <f t="shared" si="0"/>
        <v>CM CF C Sales Office</v>
      </c>
      <c r="K79" s="69" t="str">
        <f t="shared" si="1"/>
        <v>CM CF C6 Doors &amp; Windows</v>
      </c>
      <c r="L79" s="70" t="str">
        <f t="shared" si="2"/>
        <v>CM CF C6-5 Carpenter Work---Labour</v>
      </c>
      <c r="M79" s="71" t="str">
        <f t="shared" si="3"/>
        <v>CM PL C Sales Office</v>
      </c>
      <c r="N79" s="72" t="str">
        <f t="shared" si="4"/>
        <v>CM PL C6 Doors &amp; Windows</v>
      </c>
      <c r="O79" s="73" t="str">
        <f t="shared" si="5"/>
        <v>CM PL C6-5 Carpenter Work---Labour</v>
      </c>
      <c r="P79" s="104"/>
    </row>
    <row r="80" spans="1:16" s="74" customFormat="1" x14ac:dyDescent="0.2">
      <c r="A80" s="57" t="s">
        <v>374</v>
      </c>
      <c r="B80" s="57" t="s">
        <v>374</v>
      </c>
      <c r="C80" s="67" t="s">
        <v>340</v>
      </c>
      <c r="D80" s="67" t="s">
        <v>142</v>
      </c>
      <c r="E80" s="67">
        <v>7</v>
      </c>
      <c r="F80" s="67" t="s">
        <v>91</v>
      </c>
      <c r="G80" s="67">
        <v>1</v>
      </c>
      <c r="H80" s="67" t="s">
        <v>90</v>
      </c>
      <c r="I80" s="60"/>
      <c r="J80" s="68" t="str">
        <f t="shared" si="0"/>
        <v>CM CF C Sales Office</v>
      </c>
      <c r="K80" s="69" t="str">
        <f t="shared" si="1"/>
        <v>CM CF C7 Electrical</v>
      </c>
      <c r="L80" s="70" t="str">
        <f t="shared" si="2"/>
        <v>CM CF C7-1 Wires</v>
      </c>
      <c r="M80" s="71" t="str">
        <f t="shared" si="3"/>
        <v>CM PL C Sales Office</v>
      </c>
      <c r="N80" s="72" t="str">
        <f t="shared" si="4"/>
        <v>CM PL C7 Electrical</v>
      </c>
      <c r="O80" s="73" t="str">
        <f t="shared" si="5"/>
        <v>CM PL C7-1 Wires</v>
      </c>
      <c r="P80" s="104"/>
    </row>
    <row r="81" spans="1:16" s="74" customFormat="1" x14ac:dyDescent="0.2">
      <c r="A81" s="57" t="s">
        <v>374</v>
      </c>
      <c r="B81" s="57" t="s">
        <v>374</v>
      </c>
      <c r="C81" s="67" t="s">
        <v>340</v>
      </c>
      <c r="D81" s="67" t="s">
        <v>142</v>
      </c>
      <c r="E81" s="67">
        <v>7</v>
      </c>
      <c r="F81" s="67" t="s">
        <v>91</v>
      </c>
      <c r="G81" s="67">
        <v>2</v>
      </c>
      <c r="H81" s="67" t="s">
        <v>88</v>
      </c>
      <c r="I81" s="60"/>
      <c r="J81" s="68" t="str">
        <f t="shared" si="0"/>
        <v>CM CF C Sales Office</v>
      </c>
      <c r="K81" s="69" t="str">
        <f t="shared" si="1"/>
        <v>CM CF C7 Electrical</v>
      </c>
      <c r="L81" s="70" t="str">
        <f t="shared" si="2"/>
        <v>CM CF C7-2 Switches</v>
      </c>
      <c r="M81" s="71" t="str">
        <f t="shared" si="3"/>
        <v>CM PL C Sales Office</v>
      </c>
      <c r="N81" s="72" t="str">
        <f t="shared" si="4"/>
        <v>CM PL C7 Electrical</v>
      </c>
      <c r="O81" s="73" t="str">
        <f t="shared" si="5"/>
        <v>CM PL C7-2 Switches</v>
      </c>
      <c r="P81" s="104"/>
    </row>
    <row r="82" spans="1:16" s="74" customFormat="1" x14ac:dyDescent="0.2">
      <c r="A82" s="57" t="s">
        <v>374</v>
      </c>
      <c r="B82" s="57" t="s">
        <v>374</v>
      </c>
      <c r="C82" s="67" t="s">
        <v>340</v>
      </c>
      <c r="D82" s="67" t="s">
        <v>142</v>
      </c>
      <c r="E82" s="67">
        <v>7</v>
      </c>
      <c r="F82" s="67" t="s">
        <v>91</v>
      </c>
      <c r="G82" s="67">
        <v>3</v>
      </c>
      <c r="H82" s="67" t="s">
        <v>86</v>
      </c>
      <c r="I82" s="60"/>
      <c r="J82" s="68" t="str">
        <f t="shared" si="0"/>
        <v>CM CF C Sales Office</v>
      </c>
      <c r="K82" s="69" t="str">
        <f t="shared" si="1"/>
        <v>CM CF C7 Electrical</v>
      </c>
      <c r="L82" s="70" t="str">
        <f t="shared" si="2"/>
        <v>CM CF C7-3 DB Panels</v>
      </c>
      <c r="M82" s="71" t="str">
        <f t="shared" si="3"/>
        <v>CM PL C Sales Office</v>
      </c>
      <c r="N82" s="72" t="str">
        <f t="shared" si="4"/>
        <v>CM PL C7 Electrical</v>
      </c>
      <c r="O82" s="73" t="str">
        <f t="shared" si="5"/>
        <v>CM PL C7-3 DB Panels</v>
      </c>
      <c r="P82" s="104"/>
    </row>
    <row r="83" spans="1:16" s="74" customFormat="1" x14ac:dyDescent="0.2">
      <c r="A83" s="57" t="s">
        <v>374</v>
      </c>
      <c r="B83" s="57" t="s">
        <v>374</v>
      </c>
      <c r="C83" s="67" t="s">
        <v>340</v>
      </c>
      <c r="D83" s="67" t="s">
        <v>142</v>
      </c>
      <c r="E83" s="67">
        <v>7</v>
      </c>
      <c r="F83" s="67" t="s">
        <v>91</v>
      </c>
      <c r="G83" s="67">
        <v>4</v>
      </c>
      <c r="H83" s="67" t="s">
        <v>84</v>
      </c>
      <c r="I83" s="60"/>
      <c r="J83" s="68" t="str">
        <f t="shared" si="0"/>
        <v>CM CF C Sales Office</v>
      </c>
      <c r="K83" s="69" t="str">
        <f t="shared" si="1"/>
        <v>CM CF C7 Electrical</v>
      </c>
      <c r="L83" s="70" t="str">
        <f t="shared" si="2"/>
        <v>CM CF C7-4 Electrical Labour</v>
      </c>
      <c r="M83" s="71" t="str">
        <f t="shared" si="3"/>
        <v>CM PL C Sales Office</v>
      </c>
      <c r="N83" s="72" t="str">
        <f t="shared" si="4"/>
        <v>CM PL C7 Electrical</v>
      </c>
      <c r="O83" s="73" t="str">
        <f t="shared" si="5"/>
        <v>CM PL C7-4 Electrical Labour</v>
      </c>
      <c r="P83" s="104"/>
    </row>
    <row r="84" spans="1:16" s="74" customFormat="1" x14ac:dyDescent="0.2">
      <c r="A84" s="57" t="s">
        <v>374</v>
      </c>
      <c r="B84" s="57" t="s">
        <v>374</v>
      </c>
      <c r="C84" s="67" t="s">
        <v>340</v>
      </c>
      <c r="D84" s="67" t="s">
        <v>142</v>
      </c>
      <c r="E84" s="67">
        <v>7</v>
      </c>
      <c r="F84" s="67" t="s">
        <v>91</v>
      </c>
      <c r="G84" s="67">
        <v>5</v>
      </c>
      <c r="H84" s="67" t="s">
        <v>83</v>
      </c>
      <c r="I84" s="60"/>
      <c r="J84" s="68" t="str">
        <f t="shared" si="0"/>
        <v>CM CF C Sales Office</v>
      </c>
      <c r="K84" s="69" t="str">
        <f t="shared" si="1"/>
        <v>CM CF C7 Electrical</v>
      </c>
      <c r="L84" s="70" t="str">
        <f t="shared" si="2"/>
        <v>CM CF C7-5 Lights</v>
      </c>
      <c r="M84" s="71" t="str">
        <f t="shared" si="3"/>
        <v>CM PL C Sales Office</v>
      </c>
      <c r="N84" s="72" t="str">
        <f t="shared" si="4"/>
        <v>CM PL C7 Electrical</v>
      </c>
      <c r="O84" s="73" t="str">
        <f t="shared" si="5"/>
        <v>CM PL C7-5 Lights</v>
      </c>
      <c r="P84" s="104"/>
    </row>
    <row r="85" spans="1:16" s="74" customFormat="1" x14ac:dyDescent="0.2">
      <c r="A85" s="57" t="s">
        <v>374</v>
      </c>
      <c r="B85" s="57" t="s">
        <v>374</v>
      </c>
      <c r="C85" s="67" t="s">
        <v>340</v>
      </c>
      <c r="D85" s="67" t="s">
        <v>142</v>
      </c>
      <c r="E85" s="67">
        <v>7</v>
      </c>
      <c r="F85" s="67" t="s">
        <v>91</v>
      </c>
      <c r="G85" s="67">
        <v>6</v>
      </c>
      <c r="H85" s="67" t="s">
        <v>81</v>
      </c>
      <c r="I85" s="60"/>
      <c r="J85" s="68" t="str">
        <f t="shared" si="0"/>
        <v>CM CF C Sales Office</v>
      </c>
      <c r="K85" s="69" t="str">
        <f t="shared" si="1"/>
        <v>CM CF C7 Electrical</v>
      </c>
      <c r="L85" s="70" t="str">
        <f t="shared" si="2"/>
        <v>CM CF C7-6 Other Electric &amp; Hardware Material</v>
      </c>
      <c r="M85" s="71" t="str">
        <f t="shared" si="3"/>
        <v>CM PL C Sales Office</v>
      </c>
      <c r="N85" s="72" t="str">
        <f t="shared" si="4"/>
        <v>CM PL C7 Electrical</v>
      </c>
      <c r="O85" s="73" t="str">
        <f t="shared" si="5"/>
        <v>CM PL C7-6 Other Electric &amp; Hardware Material</v>
      </c>
      <c r="P85" s="104"/>
    </row>
    <row r="86" spans="1:16" s="74" customFormat="1" x14ac:dyDescent="0.2">
      <c r="A86" s="57" t="s">
        <v>374</v>
      </c>
      <c r="B86" s="57" t="s">
        <v>374</v>
      </c>
      <c r="C86" s="67" t="s">
        <v>340</v>
      </c>
      <c r="D86" s="67" t="s">
        <v>142</v>
      </c>
      <c r="E86" s="67">
        <v>8</v>
      </c>
      <c r="F86" s="67" t="s">
        <v>80</v>
      </c>
      <c r="G86" s="67">
        <v>1</v>
      </c>
      <c r="H86" s="67" t="s">
        <v>79</v>
      </c>
      <c r="I86" s="60"/>
      <c r="J86" s="68" t="str">
        <f t="shared" si="0"/>
        <v>CM CF C Sales Office</v>
      </c>
      <c r="K86" s="69" t="str">
        <f t="shared" si="1"/>
        <v>CM CF C8 Plumbing</v>
      </c>
      <c r="L86" s="70" t="str">
        <f t="shared" si="2"/>
        <v>CM CF C8-1 Pipes</v>
      </c>
      <c r="M86" s="71" t="str">
        <f t="shared" si="3"/>
        <v>CM PL C Sales Office</v>
      </c>
      <c r="N86" s="72" t="str">
        <f t="shared" si="4"/>
        <v>CM PL C8 Plumbing</v>
      </c>
      <c r="O86" s="73" t="str">
        <f t="shared" si="5"/>
        <v>CM PL C8-1 Pipes</v>
      </c>
      <c r="P86" s="104"/>
    </row>
    <row r="87" spans="1:16" s="74" customFormat="1" x14ac:dyDescent="0.2">
      <c r="A87" s="57" t="s">
        <v>374</v>
      </c>
      <c r="B87" s="57" t="s">
        <v>374</v>
      </c>
      <c r="C87" s="67" t="s">
        <v>340</v>
      </c>
      <c r="D87" s="67" t="s">
        <v>142</v>
      </c>
      <c r="E87" s="67">
        <v>8</v>
      </c>
      <c r="F87" s="67" t="s">
        <v>80</v>
      </c>
      <c r="G87" s="67">
        <v>2</v>
      </c>
      <c r="H87" s="67" t="s">
        <v>77</v>
      </c>
      <c r="I87" s="60"/>
      <c r="J87" s="68" t="str">
        <f t="shared" si="0"/>
        <v>CM CF C Sales Office</v>
      </c>
      <c r="K87" s="69" t="str">
        <f t="shared" si="1"/>
        <v>CM CF C8 Plumbing</v>
      </c>
      <c r="L87" s="70" t="str">
        <f t="shared" si="2"/>
        <v>CM CF C8-2 Fittings</v>
      </c>
      <c r="M87" s="71" t="str">
        <f t="shared" si="3"/>
        <v>CM PL C Sales Office</v>
      </c>
      <c r="N87" s="72" t="str">
        <f t="shared" si="4"/>
        <v>CM PL C8 Plumbing</v>
      </c>
      <c r="O87" s="73" t="str">
        <f t="shared" si="5"/>
        <v>CM PL C8-2 Fittings</v>
      </c>
      <c r="P87" s="104"/>
    </row>
    <row r="88" spans="1:16" s="74" customFormat="1" x14ac:dyDescent="0.2">
      <c r="A88" s="57" t="s">
        <v>374</v>
      </c>
      <c r="B88" s="57" t="s">
        <v>374</v>
      </c>
      <c r="C88" s="67" t="s">
        <v>340</v>
      </c>
      <c r="D88" s="67" t="s">
        <v>142</v>
      </c>
      <c r="E88" s="67">
        <v>8</v>
      </c>
      <c r="F88" s="67" t="s">
        <v>80</v>
      </c>
      <c r="G88" s="67">
        <v>3</v>
      </c>
      <c r="H88" s="67" t="s">
        <v>75</v>
      </c>
      <c r="I88" s="60"/>
      <c r="J88" s="68" t="str">
        <f t="shared" si="0"/>
        <v>CM CF C Sales Office</v>
      </c>
      <c r="K88" s="69" t="str">
        <f t="shared" si="1"/>
        <v>CM CF C8 Plumbing</v>
      </c>
      <c r="L88" s="70" t="str">
        <f t="shared" si="2"/>
        <v>CM CF C8-3 Plumbing Labour</v>
      </c>
      <c r="M88" s="71" t="str">
        <f t="shared" si="3"/>
        <v>CM PL C Sales Office</v>
      </c>
      <c r="N88" s="72" t="str">
        <f t="shared" si="4"/>
        <v>CM PL C8 Plumbing</v>
      </c>
      <c r="O88" s="73" t="str">
        <f t="shared" si="5"/>
        <v>CM PL C8-3 Plumbing Labour</v>
      </c>
      <c r="P88" s="104"/>
    </row>
    <row r="89" spans="1:16" s="74" customFormat="1" x14ac:dyDescent="0.2">
      <c r="A89" s="57" t="s">
        <v>374</v>
      </c>
      <c r="B89" s="57" t="s">
        <v>374</v>
      </c>
      <c r="C89" s="67" t="s">
        <v>340</v>
      </c>
      <c r="D89" s="67" t="s">
        <v>142</v>
      </c>
      <c r="E89" s="67">
        <v>9</v>
      </c>
      <c r="F89" s="67" t="s">
        <v>73</v>
      </c>
      <c r="G89" s="67">
        <v>1</v>
      </c>
      <c r="H89" s="67" t="s">
        <v>72</v>
      </c>
      <c r="I89" s="60"/>
      <c r="J89" s="68" t="str">
        <f t="shared" si="0"/>
        <v>CM CF C Sales Office</v>
      </c>
      <c r="K89" s="69" t="str">
        <f t="shared" si="1"/>
        <v>CM CF C9 Waterproofing</v>
      </c>
      <c r="L89" s="70" t="str">
        <f t="shared" si="2"/>
        <v>CM CF C9-1 Chemical Waterproofing</v>
      </c>
      <c r="M89" s="71" t="str">
        <f t="shared" si="3"/>
        <v>CM PL C Sales Office</v>
      </c>
      <c r="N89" s="72" t="str">
        <f t="shared" si="4"/>
        <v>CM PL C9 Waterproofing</v>
      </c>
      <c r="O89" s="73" t="str">
        <f t="shared" si="5"/>
        <v>CM PL C9-1 Chemical Waterproofing</v>
      </c>
      <c r="P89" s="104"/>
    </row>
    <row r="90" spans="1:16" s="74" customFormat="1" x14ac:dyDescent="0.2">
      <c r="A90" s="57" t="s">
        <v>374</v>
      </c>
      <c r="B90" s="57" t="s">
        <v>374</v>
      </c>
      <c r="C90" s="67" t="s">
        <v>340</v>
      </c>
      <c r="D90" s="67" t="s">
        <v>142</v>
      </c>
      <c r="E90" s="67">
        <v>9</v>
      </c>
      <c r="F90" s="67" t="s">
        <v>73</v>
      </c>
      <c r="G90" s="67">
        <v>2</v>
      </c>
      <c r="H90" s="67" t="s">
        <v>70</v>
      </c>
      <c r="I90" s="60"/>
      <c r="J90" s="68" t="str">
        <f t="shared" si="0"/>
        <v>CM CF C Sales Office</v>
      </c>
      <c r="K90" s="69" t="str">
        <f t="shared" si="1"/>
        <v>CM CF C9 Waterproofing</v>
      </c>
      <c r="L90" s="70" t="str">
        <f t="shared" si="2"/>
        <v>CM CF C9-2 Waterproofing Labour</v>
      </c>
      <c r="M90" s="71" t="str">
        <f t="shared" si="3"/>
        <v>CM PL C Sales Office</v>
      </c>
      <c r="N90" s="72" t="str">
        <f t="shared" si="4"/>
        <v>CM PL C9 Waterproofing</v>
      </c>
      <c r="O90" s="73" t="str">
        <f t="shared" si="5"/>
        <v>CM PL C9-2 Waterproofing Labour</v>
      </c>
      <c r="P90" s="104"/>
    </row>
    <row r="91" spans="1:16" s="74" customFormat="1" x14ac:dyDescent="0.2">
      <c r="A91" s="57" t="s">
        <v>374</v>
      </c>
      <c r="B91" s="57" t="s">
        <v>374</v>
      </c>
      <c r="C91" s="67" t="s">
        <v>340</v>
      </c>
      <c r="D91" s="67" t="s">
        <v>142</v>
      </c>
      <c r="E91" s="67">
        <v>10</v>
      </c>
      <c r="F91" s="67" t="s">
        <v>68</v>
      </c>
      <c r="G91" s="67">
        <v>1</v>
      </c>
      <c r="H91" s="67" t="s">
        <v>67</v>
      </c>
      <c r="I91" s="60"/>
      <c r="J91" s="68" t="str">
        <f t="shared" si="0"/>
        <v>CM CF C Sales Office</v>
      </c>
      <c r="K91" s="69" t="str">
        <f t="shared" si="1"/>
        <v>CM CF C10 Painting</v>
      </c>
      <c r="L91" s="70" t="str">
        <f t="shared" si="2"/>
        <v>CM CF C10-1 Primer</v>
      </c>
      <c r="M91" s="71" t="str">
        <f t="shared" si="3"/>
        <v>CM PL C Sales Office</v>
      </c>
      <c r="N91" s="72" t="str">
        <f t="shared" si="4"/>
        <v>CM PL C10 Painting</v>
      </c>
      <c r="O91" s="73" t="str">
        <f t="shared" si="5"/>
        <v>CM PL C10-1 Primer</v>
      </c>
      <c r="P91" s="104"/>
    </row>
    <row r="92" spans="1:16" s="74" customFormat="1" x14ac:dyDescent="0.2">
      <c r="A92" s="57" t="s">
        <v>374</v>
      </c>
      <c r="B92" s="57" t="s">
        <v>374</v>
      </c>
      <c r="C92" s="67" t="s">
        <v>340</v>
      </c>
      <c r="D92" s="67" t="s">
        <v>142</v>
      </c>
      <c r="E92" s="67">
        <v>10</v>
      </c>
      <c r="F92" s="67" t="s">
        <v>68</v>
      </c>
      <c r="G92" s="67">
        <v>2</v>
      </c>
      <c r="H92" s="67" t="s">
        <v>65</v>
      </c>
      <c r="I92" s="60"/>
      <c r="J92" s="68" t="str">
        <f t="shared" si="0"/>
        <v>CM CF C Sales Office</v>
      </c>
      <c r="K92" s="69" t="str">
        <f t="shared" si="1"/>
        <v>CM CF C10 Painting</v>
      </c>
      <c r="L92" s="70" t="str">
        <f t="shared" si="2"/>
        <v>CM CF C10-2 Paint</v>
      </c>
      <c r="M92" s="71" t="str">
        <f t="shared" si="3"/>
        <v>CM PL C Sales Office</v>
      </c>
      <c r="N92" s="72" t="str">
        <f t="shared" si="4"/>
        <v>CM PL C10 Painting</v>
      </c>
      <c r="O92" s="73" t="str">
        <f t="shared" si="5"/>
        <v>CM PL C10-2 Paint</v>
      </c>
      <c r="P92" s="104"/>
    </row>
    <row r="93" spans="1:16" s="74" customFormat="1" x14ac:dyDescent="0.2">
      <c r="A93" s="57" t="s">
        <v>374</v>
      </c>
      <c r="B93" s="57" t="s">
        <v>374</v>
      </c>
      <c r="C93" s="67" t="s">
        <v>340</v>
      </c>
      <c r="D93" s="67" t="s">
        <v>142</v>
      </c>
      <c r="E93" s="67">
        <v>10</v>
      </c>
      <c r="F93" s="67" t="s">
        <v>68</v>
      </c>
      <c r="G93" s="67">
        <v>3</v>
      </c>
      <c r="H93" s="67" t="s">
        <v>63</v>
      </c>
      <c r="I93" s="60"/>
      <c r="J93" s="68" t="str">
        <f t="shared" si="0"/>
        <v>CM CF C Sales Office</v>
      </c>
      <c r="K93" s="69" t="str">
        <f t="shared" si="1"/>
        <v>CM CF C10 Painting</v>
      </c>
      <c r="L93" s="70" t="str">
        <f t="shared" si="2"/>
        <v>CM CF C10-3 Painting Labour</v>
      </c>
      <c r="M93" s="71" t="str">
        <f t="shared" si="3"/>
        <v>CM PL C Sales Office</v>
      </c>
      <c r="N93" s="72" t="str">
        <f t="shared" si="4"/>
        <v>CM PL C10 Painting</v>
      </c>
      <c r="O93" s="73" t="str">
        <f t="shared" si="5"/>
        <v>CM PL C10-3 Painting Labour</v>
      </c>
      <c r="P93" s="104"/>
    </row>
    <row r="94" spans="1:16" s="74" customFormat="1" x14ac:dyDescent="0.2">
      <c r="A94" s="57" t="s">
        <v>374</v>
      </c>
      <c r="B94" s="57" t="s">
        <v>374</v>
      </c>
      <c r="C94" s="67" t="s">
        <v>340</v>
      </c>
      <c r="D94" s="67" t="s">
        <v>142</v>
      </c>
      <c r="E94" s="67">
        <v>11</v>
      </c>
      <c r="F94" s="67" t="s">
        <v>61</v>
      </c>
      <c r="G94" s="67">
        <v>1</v>
      </c>
      <c r="H94" s="67" t="s">
        <v>61</v>
      </c>
      <c r="I94" s="60"/>
      <c r="J94" s="68" t="str">
        <f t="shared" si="0"/>
        <v>CM CF C Sales Office</v>
      </c>
      <c r="K94" s="69" t="str">
        <f t="shared" si="1"/>
        <v>CM CF C11 Furniture/Equipments</v>
      </c>
      <c r="L94" s="70" t="str">
        <f t="shared" si="2"/>
        <v>CM CF C11-1 Furniture/Equipments</v>
      </c>
      <c r="M94" s="71" t="str">
        <f t="shared" si="3"/>
        <v>CM PL C Sales Office</v>
      </c>
      <c r="N94" s="72" t="str">
        <f t="shared" si="4"/>
        <v>CM PL C11 Furniture/Equipments</v>
      </c>
      <c r="O94" s="73" t="str">
        <f t="shared" si="5"/>
        <v>CM PL C11-1 Furniture/Equipments</v>
      </c>
      <c r="P94" s="104"/>
    </row>
    <row r="95" spans="1:16" s="74" customFormat="1" x14ac:dyDescent="0.2">
      <c r="A95" s="57" t="s">
        <v>374</v>
      </c>
      <c r="B95" s="57" t="s">
        <v>374</v>
      </c>
      <c r="C95" s="67" t="s">
        <v>340</v>
      </c>
      <c r="D95" s="67" t="s">
        <v>142</v>
      </c>
      <c r="E95" s="67">
        <v>11</v>
      </c>
      <c r="F95" s="67" t="s">
        <v>61</v>
      </c>
      <c r="G95" s="67">
        <v>2</v>
      </c>
      <c r="H95" s="67" t="s">
        <v>59</v>
      </c>
      <c r="I95" s="60"/>
      <c r="J95" s="68" t="str">
        <f t="shared" si="0"/>
        <v>CM CF C Sales Office</v>
      </c>
      <c r="K95" s="69" t="str">
        <f t="shared" si="1"/>
        <v>CM CF C11 Furniture/Equipments</v>
      </c>
      <c r="L95" s="70" t="str">
        <f t="shared" si="2"/>
        <v>CM CF C11-2 POP</v>
      </c>
      <c r="M95" s="71" t="str">
        <f t="shared" si="3"/>
        <v>CM PL C Sales Office</v>
      </c>
      <c r="N95" s="72" t="str">
        <f t="shared" si="4"/>
        <v>CM PL C11 Furniture/Equipments</v>
      </c>
      <c r="O95" s="73" t="str">
        <f t="shared" si="5"/>
        <v>CM PL C11-2 POP</v>
      </c>
      <c r="P95" s="104"/>
    </row>
    <row r="96" spans="1:16" s="74" customFormat="1" x14ac:dyDescent="0.2">
      <c r="A96" s="57" t="s">
        <v>374</v>
      </c>
      <c r="B96" s="57" t="s">
        <v>374</v>
      </c>
      <c r="C96" s="67" t="s">
        <v>331</v>
      </c>
      <c r="D96" s="67" t="s">
        <v>163</v>
      </c>
      <c r="E96" s="67">
        <v>1</v>
      </c>
      <c r="F96" s="67" t="s">
        <v>141</v>
      </c>
      <c r="G96" s="67">
        <v>1</v>
      </c>
      <c r="H96" s="67" t="s">
        <v>140</v>
      </c>
      <c r="I96" s="60" t="s">
        <v>139</v>
      </c>
      <c r="J96" s="68" t="str">
        <f t="shared" si="0"/>
        <v>CM CF D Common Aminities</v>
      </c>
      <c r="K96" s="69" t="str">
        <f t="shared" si="1"/>
        <v>CM CF D1 RCC Structure</v>
      </c>
      <c r="L96" s="70" t="str">
        <f t="shared" si="2"/>
        <v>CM CF D1-1 Steel</v>
      </c>
      <c r="M96" s="71" t="str">
        <f t="shared" si="3"/>
        <v>CM PL D Common Aminities</v>
      </c>
      <c r="N96" s="72" t="str">
        <f t="shared" si="4"/>
        <v>CM PL D1 RCC Structure</v>
      </c>
      <c r="O96" s="73" t="str">
        <f t="shared" si="5"/>
        <v>CM PL D1-1 Steel</v>
      </c>
      <c r="P96" s="104"/>
    </row>
    <row r="97" spans="1:16" s="74" customFormat="1" x14ac:dyDescent="0.2">
      <c r="A97" s="57" t="s">
        <v>374</v>
      </c>
      <c r="B97" s="57" t="s">
        <v>374</v>
      </c>
      <c r="C97" s="67" t="s">
        <v>331</v>
      </c>
      <c r="D97" s="67" t="s">
        <v>163</v>
      </c>
      <c r="E97" s="67">
        <v>1</v>
      </c>
      <c r="F97" s="67" t="s">
        <v>141</v>
      </c>
      <c r="G97" s="67">
        <v>2</v>
      </c>
      <c r="H97" s="67" t="s">
        <v>138</v>
      </c>
      <c r="I97" s="60" t="s">
        <v>137</v>
      </c>
      <c r="J97" s="68" t="str">
        <f t="shared" si="0"/>
        <v>CM CF D Common Aminities</v>
      </c>
      <c r="K97" s="69" t="str">
        <f t="shared" si="1"/>
        <v>CM CF D1 RCC Structure</v>
      </c>
      <c r="L97" s="70" t="str">
        <f t="shared" si="2"/>
        <v>CM CF D1-2 Cement</v>
      </c>
      <c r="M97" s="71" t="str">
        <f t="shared" si="3"/>
        <v>CM PL D Common Aminities</v>
      </c>
      <c r="N97" s="72" t="str">
        <f t="shared" si="4"/>
        <v>CM PL D1 RCC Structure</v>
      </c>
      <c r="O97" s="73" t="str">
        <f t="shared" si="5"/>
        <v>CM PL D1-2 Cement</v>
      </c>
      <c r="P97" s="104"/>
    </row>
    <row r="98" spans="1:16" s="74" customFormat="1" x14ac:dyDescent="0.2">
      <c r="A98" s="57" t="s">
        <v>374</v>
      </c>
      <c r="B98" s="57" t="s">
        <v>374</v>
      </c>
      <c r="C98" s="67" t="s">
        <v>331</v>
      </c>
      <c r="D98" s="67" t="s">
        <v>163</v>
      </c>
      <c r="E98" s="67">
        <v>1</v>
      </c>
      <c r="F98" s="67" t="s">
        <v>141</v>
      </c>
      <c r="G98" s="67">
        <v>3</v>
      </c>
      <c r="H98" s="67" t="s">
        <v>136</v>
      </c>
      <c r="I98" s="60" t="s">
        <v>135</v>
      </c>
      <c r="J98" s="68" t="str">
        <f t="shared" si="0"/>
        <v>CM CF D Common Aminities</v>
      </c>
      <c r="K98" s="69" t="str">
        <f t="shared" si="1"/>
        <v>CM CF D1 RCC Structure</v>
      </c>
      <c r="L98" s="70" t="str">
        <f t="shared" si="2"/>
        <v>CM CF D1-3 Sand</v>
      </c>
      <c r="M98" s="71" t="str">
        <f t="shared" si="3"/>
        <v>CM PL D Common Aminities</v>
      </c>
      <c r="N98" s="72" t="str">
        <f t="shared" si="4"/>
        <v>CM PL D1 RCC Structure</v>
      </c>
      <c r="O98" s="73" t="str">
        <f t="shared" si="5"/>
        <v>CM PL D1-3 Sand</v>
      </c>
      <c r="P98" s="104"/>
    </row>
    <row r="99" spans="1:16" s="74" customFormat="1" x14ac:dyDescent="0.2">
      <c r="A99" s="57" t="s">
        <v>374</v>
      </c>
      <c r="B99" s="57" t="s">
        <v>374</v>
      </c>
      <c r="C99" s="67" t="s">
        <v>331</v>
      </c>
      <c r="D99" s="67" t="s">
        <v>163</v>
      </c>
      <c r="E99" s="67">
        <v>1</v>
      </c>
      <c r="F99" s="67" t="s">
        <v>141</v>
      </c>
      <c r="G99" s="67">
        <v>4</v>
      </c>
      <c r="H99" s="67" t="s">
        <v>134</v>
      </c>
      <c r="I99" s="60" t="s">
        <v>133</v>
      </c>
      <c r="J99" s="68" t="str">
        <f t="shared" si="0"/>
        <v>CM CF D Common Aminities</v>
      </c>
      <c r="K99" s="69" t="str">
        <f t="shared" si="1"/>
        <v>CM CF D1 RCC Structure</v>
      </c>
      <c r="L99" s="70" t="str">
        <f t="shared" si="2"/>
        <v>CM CF D1-4 Aggregate</v>
      </c>
      <c r="M99" s="71" t="str">
        <f t="shared" si="3"/>
        <v>CM PL D Common Aminities</v>
      </c>
      <c r="N99" s="72" t="str">
        <f t="shared" si="4"/>
        <v>CM PL D1 RCC Structure</v>
      </c>
      <c r="O99" s="73" t="str">
        <f t="shared" si="5"/>
        <v>CM PL D1-4 Aggregate</v>
      </c>
      <c r="P99" s="104"/>
    </row>
    <row r="100" spans="1:16" s="74" customFormat="1" x14ac:dyDescent="0.2">
      <c r="A100" s="57" t="s">
        <v>374</v>
      </c>
      <c r="B100" s="57" t="s">
        <v>374</v>
      </c>
      <c r="C100" s="67" t="s">
        <v>331</v>
      </c>
      <c r="D100" s="67" t="s">
        <v>163</v>
      </c>
      <c r="E100" s="67">
        <v>1</v>
      </c>
      <c r="F100" s="67" t="s">
        <v>141</v>
      </c>
      <c r="G100" s="67">
        <v>5</v>
      </c>
      <c r="H100" s="67" t="s">
        <v>132</v>
      </c>
      <c r="I100" s="60" t="s">
        <v>131</v>
      </c>
      <c r="J100" s="68" t="str">
        <f t="shared" si="0"/>
        <v>CM CF D Common Aminities</v>
      </c>
      <c r="K100" s="69" t="str">
        <f t="shared" si="1"/>
        <v>CM CF D1 RCC Structure</v>
      </c>
      <c r="L100" s="70" t="str">
        <f t="shared" si="2"/>
        <v>CM CF D1-5 RCC Labour</v>
      </c>
      <c r="M100" s="71" t="str">
        <f t="shared" si="3"/>
        <v>CM PL D Common Aminities</v>
      </c>
      <c r="N100" s="72" t="str">
        <f t="shared" si="4"/>
        <v>CM PL D1 RCC Structure</v>
      </c>
      <c r="O100" s="73" t="str">
        <f t="shared" si="5"/>
        <v>CM PL D1-5 RCC Labour</v>
      </c>
      <c r="P100" s="104"/>
    </row>
    <row r="101" spans="1:16" s="74" customFormat="1" x14ac:dyDescent="0.2">
      <c r="A101" s="57" t="s">
        <v>374</v>
      </c>
      <c r="B101" s="57" t="s">
        <v>374</v>
      </c>
      <c r="C101" s="67" t="s">
        <v>331</v>
      </c>
      <c r="D101" s="67" t="s">
        <v>163</v>
      </c>
      <c r="E101" s="67">
        <v>1</v>
      </c>
      <c r="F101" s="67" t="s">
        <v>141</v>
      </c>
      <c r="G101" s="67">
        <v>6</v>
      </c>
      <c r="H101" s="67" t="s">
        <v>130</v>
      </c>
      <c r="I101" s="60" t="s">
        <v>129</v>
      </c>
      <c r="J101" s="68" t="str">
        <f t="shared" si="0"/>
        <v>CM CF D Common Aminities</v>
      </c>
      <c r="K101" s="69" t="str">
        <f t="shared" si="1"/>
        <v>CM CF D1 RCC Structure</v>
      </c>
      <c r="L101" s="70" t="str">
        <f t="shared" si="2"/>
        <v>CM CF D1-6 Shuttering</v>
      </c>
      <c r="M101" s="71" t="str">
        <f t="shared" si="3"/>
        <v>CM PL D Common Aminities</v>
      </c>
      <c r="N101" s="72" t="str">
        <f t="shared" si="4"/>
        <v>CM PL D1 RCC Structure</v>
      </c>
      <c r="O101" s="73" t="str">
        <f t="shared" si="5"/>
        <v>CM PL D1-6 Shuttering</v>
      </c>
      <c r="P101" s="104"/>
    </row>
    <row r="102" spans="1:16" s="74" customFormat="1" x14ac:dyDescent="0.2">
      <c r="A102" s="57" t="s">
        <v>374</v>
      </c>
      <c r="B102" s="57" t="s">
        <v>374</v>
      </c>
      <c r="C102" s="67" t="s">
        <v>331</v>
      </c>
      <c r="D102" s="67" t="s">
        <v>163</v>
      </c>
      <c r="E102" s="67">
        <v>1</v>
      </c>
      <c r="F102" s="67" t="s">
        <v>141</v>
      </c>
      <c r="G102" s="67">
        <f t="shared" ref="G102:G104" si="6">G101+1</f>
        <v>7</v>
      </c>
      <c r="H102" s="67" t="s">
        <v>128</v>
      </c>
      <c r="I102" s="60" t="s">
        <v>127</v>
      </c>
      <c r="J102" s="68" t="str">
        <f t="shared" si="0"/>
        <v>CM CF D Common Aminities</v>
      </c>
      <c r="K102" s="69" t="str">
        <f t="shared" si="1"/>
        <v>CM CF D1 RCC Structure</v>
      </c>
      <c r="L102" s="70" t="str">
        <f t="shared" si="2"/>
        <v>CM CF D1-7 Concrete Pump</v>
      </c>
      <c r="M102" s="71" t="str">
        <f t="shared" si="3"/>
        <v>CM PL D Common Aminities</v>
      </c>
      <c r="N102" s="72" t="str">
        <f t="shared" si="4"/>
        <v>CM PL D1 RCC Structure</v>
      </c>
      <c r="O102" s="73" t="str">
        <f t="shared" si="5"/>
        <v>CM PL D1-7 Concrete Pump</v>
      </c>
      <c r="P102" s="104"/>
    </row>
    <row r="103" spans="1:16" s="74" customFormat="1" x14ac:dyDescent="0.2">
      <c r="A103" s="57" t="s">
        <v>374</v>
      </c>
      <c r="B103" s="57" t="s">
        <v>374</v>
      </c>
      <c r="C103" s="67" t="s">
        <v>331</v>
      </c>
      <c r="D103" s="67" t="s">
        <v>163</v>
      </c>
      <c r="E103" s="67">
        <v>1</v>
      </c>
      <c r="F103" s="67" t="s">
        <v>141</v>
      </c>
      <c r="G103" s="67">
        <f t="shared" si="6"/>
        <v>8</v>
      </c>
      <c r="H103" s="67" t="s">
        <v>162</v>
      </c>
      <c r="I103" s="60" t="s">
        <v>162</v>
      </c>
      <c r="J103" s="68" t="str">
        <f t="shared" si="0"/>
        <v>CM CF D Common Aminities</v>
      </c>
      <c r="K103" s="69" t="str">
        <f t="shared" si="1"/>
        <v>CM CF D1 RCC Structure</v>
      </c>
      <c r="L103" s="70" t="str">
        <f t="shared" si="2"/>
        <v>CM CF D1-8 corrugated sheet</v>
      </c>
      <c r="M103" s="71" t="str">
        <f t="shared" si="3"/>
        <v>CM PL D Common Aminities</v>
      </c>
      <c r="N103" s="72" t="str">
        <f t="shared" si="4"/>
        <v>CM PL D1 RCC Structure</v>
      </c>
      <c r="O103" s="73" t="str">
        <f t="shared" si="5"/>
        <v>CM PL D1-8 corrugated sheet</v>
      </c>
      <c r="P103" s="104"/>
    </row>
    <row r="104" spans="1:16" s="74" customFormat="1" x14ac:dyDescent="0.2">
      <c r="A104" s="57" t="s">
        <v>374</v>
      </c>
      <c r="B104" s="57" t="s">
        <v>374</v>
      </c>
      <c r="C104" s="67" t="s">
        <v>331</v>
      </c>
      <c r="D104" s="67" t="s">
        <v>163</v>
      </c>
      <c r="E104" s="67">
        <v>1</v>
      </c>
      <c r="F104" s="67" t="s">
        <v>141</v>
      </c>
      <c r="G104" s="67">
        <f t="shared" si="6"/>
        <v>9</v>
      </c>
      <c r="H104" s="67" t="s">
        <v>161</v>
      </c>
      <c r="I104" s="60"/>
      <c r="J104" s="68" t="str">
        <f t="shared" si="0"/>
        <v>CM CF D Common Aminities</v>
      </c>
      <c r="K104" s="69" t="str">
        <f t="shared" si="1"/>
        <v>CM CF D1 RCC Structure</v>
      </c>
      <c r="L104" s="70" t="str">
        <f t="shared" si="2"/>
        <v>CM CF D1-9 Rubble Stone</v>
      </c>
      <c r="M104" s="71" t="str">
        <f t="shared" si="3"/>
        <v>CM PL D Common Aminities</v>
      </c>
      <c r="N104" s="72" t="str">
        <f t="shared" si="4"/>
        <v>CM PL D1 RCC Structure</v>
      </c>
      <c r="O104" s="73" t="str">
        <f t="shared" si="5"/>
        <v>CM PL D1-9 Rubble Stone</v>
      </c>
      <c r="P104" s="104"/>
    </row>
    <row r="105" spans="1:16" s="74" customFormat="1" x14ac:dyDescent="0.2">
      <c r="A105" s="57" t="s">
        <v>374</v>
      </c>
      <c r="B105" s="57" t="s">
        <v>374</v>
      </c>
      <c r="C105" s="67" t="s">
        <v>331</v>
      </c>
      <c r="D105" s="67" t="s">
        <v>163</v>
      </c>
      <c r="E105" s="67">
        <v>2</v>
      </c>
      <c r="F105" s="67" t="s">
        <v>126</v>
      </c>
      <c r="G105" s="67">
        <v>1</v>
      </c>
      <c r="H105" s="67" t="s">
        <v>125</v>
      </c>
      <c r="I105" s="60" t="s">
        <v>124</v>
      </c>
      <c r="J105" s="68" t="str">
        <f t="shared" si="0"/>
        <v>CM CF D Common Aminities</v>
      </c>
      <c r="K105" s="69" t="str">
        <f t="shared" si="1"/>
        <v>CM CF D2 Brickwork</v>
      </c>
      <c r="L105" s="70" t="str">
        <f t="shared" si="2"/>
        <v>CM CF D2-1 Bricks/Blocks</v>
      </c>
      <c r="M105" s="71" t="str">
        <f t="shared" si="3"/>
        <v>CM PL D Common Aminities</v>
      </c>
      <c r="N105" s="72" t="str">
        <f t="shared" si="4"/>
        <v>CM PL D2 Brickwork</v>
      </c>
      <c r="O105" s="73" t="str">
        <f t="shared" si="5"/>
        <v>CM PL D2-1 Bricks/Blocks</v>
      </c>
      <c r="P105" s="104"/>
    </row>
    <row r="106" spans="1:16" s="74" customFormat="1" x14ac:dyDescent="0.2">
      <c r="A106" s="57" t="s">
        <v>374</v>
      </c>
      <c r="B106" s="57" t="s">
        <v>374</v>
      </c>
      <c r="C106" s="67" t="s">
        <v>331</v>
      </c>
      <c r="D106" s="67" t="s">
        <v>163</v>
      </c>
      <c r="E106" s="67">
        <v>2</v>
      </c>
      <c r="F106" s="67" t="s">
        <v>126</v>
      </c>
      <c r="G106" s="67">
        <v>2</v>
      </c>
      <c r="H106" s="67" t="s">
        <v>123</v>
      </c>
      <c r="I106" s="60" t="s">
        <v>122</v>
      </c>
      <c r="J106" s="68" t="str">
        <f t="shared" si="0"/>
        <v>CM CF D Common Aminities</v>
      </c>
      <c r="K106" s="69" t="str">
        <f t="shared" si="1"/>
        <v>CM CF D2 Brickwork</v>
      </c>
      <c r="L106" s="70" t="str">
        <f t="shared" si="2"/>
        <v>CM CF D2-2 Mortar</v>
      </c>
      <c r="M106" s="71" t="str">
        <f t="shared" si="3"/>
        <v>CM PL D Common Aminities</v>
      </c>
      <c r="N106" s="72" t="str">
        <f t="shared" si="4"/>
        <v>CM PL D2 Brickwork</v>
      </c>
      <c r="O106" s="73" t="str">
        <f t="shared" si="5"/>
        <v>CM PL D2-2 Mortar</v>
      </c>
      <c r="P106" s="104"/>
    </row>
    <row r="107" spans="1:16" s="74" customFormat="1" x14ac:dyDescent="0.2">
      <c r="A107" s="57" t="s">
        <v>374</v>
      </c>
      <c r="B107" s="57" t="s">
        <v>374</v>
      </c>
      <c r="C107" s="67" t="s">
        <v>331</v>
      </c>
      <c r="D107" s="67" t="s">
        <v>163</v>
      </c>
      <c r="E107" s="67">
        <v>2</v>
      </c>
      <c r="F107" s="67" t="s">
        <v>126</v>
      </c>
      <c r="G107" s="67">
        <v>3</v>
      </c>
      <c r="H107" s="67" t="s">
        <v>121</v>
      </c>
      <c r="I107" s="60" t="s">
        <v>120</v>
      </c>
      <c r="J107" s="68" t="str">
        <f t="shared" si="0"/>
        <v>CM CF D Common Aminities</v>
      </c>
      <c r="K107" s="69" t="str">
        <f t="shared" si="1"/>
        <v>CM CF D2 Brickwork</v>
      </c>
      <c r="L107" s="70" t="str">
        <f t="shared" si="2"/>
        <v>CM CF D2-3 Brickwork Labour</v>
      </c>
      <c r="M107" s="71" t="str">
        <f t="shared" si="3"/>
        <v>CM PL D Common Aminities</v>
      </c>
      <c r="N107" s="72" t="str">
        <f t="shared" si="4"/>
        <v>CM PL D2 Brickwork</v>
      </c>
      <c r="O107" s="73" t="str">
        <f t="shared" si="5"/>
        <v>CM PL D2-3 Brickwork Labour</v>
      </c>
      <c r="P107" s="104"/>
    </row>
    <row r="108" spans="1:16" s="74" customFormat="1" x14ac:dyDescent="0.2">
      <c r="A108" s="57" t="s">
        <v>374</v>
      </c>
      <c r="B108" s="57" t="s">
        <v>374</v>
      </c>
      <c r="C108" s="67" t="s">
        <v>331</v>
      </c>
      <c r="D108" s="67" t="s">
        <v>163</v>
      </c>
      <c r="E108" s="67">
        <v>3</v>
      </c>
      <c r="F108" s="67" t="s">
        <v>119</v>
      </c>
      <c r="G108" s="67">
        <v>1</v>
      </c>
      <c r="H108" s="67" t="s">
        <v>118</v>
      </c>
      <c r="I108" s="60" t="s">
        <v>117</v>
      </c>
      <c r="J108" s="68" t="str">
        <f t="shared" si="0"/>
        <v>CM CF D Common Aminities</v>
      </c>
      <c r="K108" s="69" t="str">
        <f t="shared" si="1"/>
        <v>CM CF D3 Internal Plaster</v>
      </c>
      <c r="L108" s="70" t="str">
        <f t="shared" si="2"/>
        <v>CM CF D3-1 Plaster Material</v>
      </c>
      <c r="M108" s="71" t="str">
        <f t="shared" si="3"/>
        <v>CM PL D Common Aminities</v>
      </c>
      <c r="N108" s="72" t="str">
        <f t="shared" si="4"/>
        <v>CM PL D3 Internal Plaster</v>
      </c>
      <c r="O108" s="73" t="str">
        <f t="shared" si="5"/>
        <v>CM PL D3-1 Plaster Material</v>
      </c>
      <c r="P108" s="104"/>
    </row>
    <row r="109" spans="1:16" s="74" customFormat="1" x14ac:dyDescent="0.2">
      <c r="A109" s="57" t="s">
        <v>374</v>
      </c>
      <c r="B109" s="57" t="s">
        <v>374</v>
      </c>
      <c r="C109" s="67" t="s">
        <v>331</v>
      </c>
      <c r="D109" s="67" t="s">
        <v>163</v>
      </c>
      <c r="E109" s="67">
        <v>3</v>
      </c>
      <c r="F109" s="67" t="s">
        <v>119</v>
      </c>
      <c r="G109" s="67">
        <v>2</v>
      </c>
      <c r="H109" s="67" t="s">
        <v>116</v>
      </c>
      <c r="I109" s="60" t="s">
        <v>115</v>
      </c>
      <c r="J109" s="68" t="str">
        <f t="shared" si="0"/>
        <v>CM CF D Common Aminities</v>
      </c>
      <c r="K109" s="69" t="str">
        <f t="shared" si="1"/>
        <v>CM CF D3 Internal Plaster</v>
      </c>
      <c r="L109" s="70" t="str">
        <f t="shared" si="2"/>
        <v>CM CF D3-2 Plaster Labour</v>
      </c>
      <c r="M109" s="71" t="str">
        <f t="shared" si="3"/>
        <v>CM PL D Common Aminities</v>
      </c>
      <c r="N109" s="72" t="str">
        <f t="shared" si="4"/>
        <v>CM PL D3 Internal Plaster</v>
      </c>
      <c r="O109" s="73" t="str">
        <f t="shared" si="5"/>
        <v>CM PL D3-2 Plaster Labour</v>
      </c>
      <c r="P109" s="104"/>
    </row>
    <row r="110" spans="1:16" s="74" customFormat="1" x14ac:dyDescent="0.2">
      <c r="A110" s="57" t="s">
        <v>374</v>
      </c>
      <c r="B110" s="57" t="s">
        <v>374</v>
      </c>
      <c r="C110" s="67" t="s">
        <v>331</v>
      </c>
      <c r="D110" s="67" t="s">
        <v>163</v>
      </c>
      <c r="E110" s="67">
        <v>3</v>
      </c>
      <c r="F110" s="67" t="s">
        <v>119</v>
      </c>
      <c r="G110" s="67">
        <v>3</v>
      </c>
      <c r="H110" s="67" t="s">
        <v>280</v>
      </c>
      <c r="I110" s="67" t="s">
        <v>393</v>
      </c>
      <c r="J110" s="68" t="str">
        <f t="shared" si="0"/>
        <v>CM CF D Common Aminities</v>
      </c>
      <c r="K110" s="69" t="str">
        <f t="shared" si="1"/>
        <v>CM CF D3 Internal Plaster</v>
      </c>
      <c r="L110" s="70" t="str">
        <f t="shared" si="2"/>
        <v>CM CF D3-3 Gypsum Work</v>
      </c>
      <c r="M110" s="71" t="str">
        <f t="shared" si="3"/>
        <v>CM PL D Common Aminities</v>
      </c>
      <c r="N110" s="72" t="str">
        <f t="shared" si="4"/>
        <v>CM PL D3 Internal Plaster</v>
      </c>
      <c r="O110" s="73" t="str">
        <f t="shared" si="5"/>
        <v>CM PL D3-3 Gypsum Work</v>
      </c>
      <c r="P110" s="104"/>
    </row>
    <row r="111" spans="1:16" s="74" customFormat="1" x14ac:dyDescent="0.2">
      <c r="A111" s="57" t="s">
        <v>374</v>
      </c>
      <c r="B111" s="57" t="s">
        <v>374</v>
      </c>
      <c r="C111" s="67" t="s">
        <v>331</v>
      </c>
      <c r="D111" s="67" t="s">
        <v>163</v>
      </c>
      <c r="E111" s="67">
        <v>4</v>
      </c>
      <c r="F111" s="67" t="s">
        <v>114</v>
      </c>
      <c r="G111" s="67">
        <v>1</v>
      </c>
      <c r="H111" s="67" t="s">
        <v>113</v>
      </c>
      <c r="I111" s="60" t="s">
        <v>112</v>
      </c>
      <c r="J111" s="68" t="str">
        <f t="shared" si="0"/>
        <v>CM CF D Common Aminities</v>
      </c>
      <c r="K111" s="69" t="str">
        <f t="shared" si="1"/>
        <v>CM CF D4 External Plaster</v>
      </c>
      <c r="L111" s="70" t="str">
        <f t="shared" si="2"/>
        <v>CM CF D4-1 External Plaster Material</v>
      </c>
      <c r="M111" s="71" t="str">
        <f t="shared" si="3"/>
        <v>CM PL D Common Aminities</v>
      </c>
      <c r="N111" s="72" t="str">
        <f t="shared" si="4"/>
        <v>CM PL D4 External Plaster</v>
      </c>
      <c r="O111" s="73" t="str">
        <f t="shared" si="5"/>
        <v>CM PL D4-1 External Plaster Material</v>
      </c>
      <c r="P111" s="104"/>
    </row>
    <row r="112" spans="1:16" s="74" customFormat="1" x14ac:dyDescent="0.2">
      <c r="A112" s="57" t="s">
        <v>374</v>
      </c>
      <c r="B112" s="57" t="s">
        <v>374</v>
      </c>
      <c r="C112" s="67" t="s">
        <v>331</v>
      </c>
      <c r="D112" s="67" t="s">
        <v>163</v>
      </c>
      <c r="E112" s="67">
        <v>4</v>
      </c>
      <c r="F112" s="67" t="s">
        <v>114</v>
      </c>
      <c r="G112" s="67">
        <v>2</v>
      </c>
      <c r="H112" s="67" t="s">
        <v>111</v>
      </c>
      <c r="I112" s="60" t="s">
        <v>110</v>
      </c>
      <c r="J112" s="68" t="str">
        <f t="shared" si="0"/>
        <v>CM CF D Common Aminities</v>
      </c>
      <c r="K112" s="69" t="str">
        <f t="shared" si="1"/>
        <v>CM CF D4 External Plaster</v>
      </c>
      <c r="L112" s="70" t="str">
        <f t="shared" si="2"/>
        <v>CM CF D4-2 External Plaster Labour</v>
      </c>
      <c r="M112" s="71" t="str">
        <f t="shared" si="3"/>
        <v>CM PL D Common Aminities</v>
      </c>
      <c r="N112" s="72" t="str">
        <f t="shared" si="4"/>
        <v>CM PL D4 External Plaster</v>
      </c>
      <c r="O112" s="73" t="str">
        <f t="shared" si="5"/>
        <v>CM PL D4-2 External Plaster Labour</v>
      </c>
      <c r="P112" s="104"/>
    </row>
    <row r="113" spans="1:16" s="74" customFormat="1" x14ac:dyDescent="0.2">
      <c r="A113" s="57" t="s">
        <v>374</v>
      </c>
      <c r="B113" s="57" t="s">
        <v>374</v>
      </c>
      <c r="C113" s="67" t="s">
        <v>331</v>
      </c>
      <c r="D113" s="67" t="s">
        <v>163</v>
      </c>
      <c r="E113" s="67">
        <v>5</v>
      </c>
      <c r="F113" s="67" t="s">
        <v>109</v>
      </c>
      <c r="G113" s="67">
        <v>1</v>
      </c>
      <c r="H113" s="67" t="s">
        <v>108</v>
      </c>
      <c r="I113" s="60" t="s">
        <v>107</v>
      </c>
      <c r="J113" s="68" t="str">
        <f t="shared" si="0"/>
        <v>CM CF D Common Aminities</v>
      </c>
      <c r="K113" s="69" t="str">
        <f t="shared" si="1"/>
        <v>CM CF D5 Flooring</v>
      </c>
      <c r="L113" s="70" t="str">
        <f t="shared" si="2"/>
        <v>CM CF D5-1 Tiles</v>
      </c>
      <c r="M113" s="71" t="str">
        <f t="shared" si="3"/>
        <v>CM PL D Common Aminities</v>
      </c>
      <c r="N113" s="72" t="str">
        <f t="shared" si="4"/>
        <v>CM PL D5 Flooring</v>
      </c>
      <c r="O113" s="73" t="str">
        <f t="shared" si="5"/>
        <v>CM PL D5-1 Tiles</v>
      </c>
      <c r="P113" s="104"/>
    </row>
    <row r="114" spans="1:16" s="74" customFormat="1" x14ac:dyDescent="0.2">
      <c r="A114" s="57" t="s">
        <v>374</v>
      </c>
      <c r="B114" s="57" t="s">
        <v>374</v>
      </c>
      <c r="C114" s="67" t="s">
        <v>331</v>
      </c>
      <c r="D114" s="67" t="s">
        <v>163</v>
      </c>
      <c r="E114" s="67">
        <v>5</v>
      </c>
      <c r="F114" s="67" t="s">
        <v>109</v>
      </c>
      <c r="G114" s="67">
        <v>2</v>
      </c>
      <c r="H114" s="67" t="s">
        <v>106</v>
      </c>
      <c r="I114" s="60" t="s">
        <v>105</v>
      </c>
      <c r="J114" s="68" t="str">
        <f t="shared" si="0"/>
        <v>CM CF D Common Aminities</v>
      </c>
      <c r="K114" s="69" t="str">
        <f t="shared" si="1"/>
        <v>CM CF D5 Flooring</v>
      </c>
      <c r="L114" s="70" t="str">
        <f t="shared" si="2"/>
        <v>CM CF D5-2 Marble/Granite</v>
      </c>
      <c r="M114" s="71" t="str">
        <f t="shared" si="3"/>
        <v>CM PL D Common Aminities</v>
      </c>
      <c r="N114" s="72" t="str">
        <f t="shared" si="4"/>
        <v>CM PL D5 Flooring</v>
      </c>
      <c r="O114" s="73" t="str">
        <f t="shared" si="5"/>
        <v>CM PL D5-2 Marble/Granite</v>
      </c>
      <c r="P114" s="104"/>
    </row>
    <row r="115" spans="1:16" s="74" customFormat="1" x14ac:dyDescent="0.2">
      <c r="A115" s="57" t="s">
        <v>374</v>
      </c>
      <c r="B115" s="57" t="s">
        <v>374</v>
      </c>
      <c r="C115" s="67" t="s">
        <v>331</v>
      </c>
      <c r="D115" s="67" t="s">
        <v>163</v>
      </c>
      <c r="E115" s="67">
        <v>5</v>
      </c>
      <c r="F115" s="67" t="s">
        <v>109</v>
      </c>
      <c r="G115" s="67">
        <v>3</v>
      </c>
      <c r="H115" s="67" t="s">
        <v>104</v>
      </c>
      <c r="I115" s="60" t="s">
        <v>103</v>
      </c>
      <c r="J115" s="68" t="str">
        <f t="shared" si="0"/>
        <v>CM CF D Common Aminities</v>
      </c>
      <c r="K115" s="69" t="str">
        <f t="shared" si="1"/>
        <v>CM CF D5 Flooring</v>
      </c>
      <c r="L115" s="70" t="str">
        <f t="shared" si="2"/>
        <v>CM CF D5-3 Flooring Labour</v>
      </c>
      <c r="M115" s="71" t="str">
        <f t="shared" si="3"/>
        <v>CM PL D Common Aminities</v>
      </c>
      <c r="N115" s="72" t="str">
        <f t="shared" si="4"/>
        <v>CM PL D5 Flooring</v>
      </c>
      <c r="O115" s="73" t="str">
        <f t="shared" si="5"/>
        <v>CM PL D5-3 Flooring Labour</v>
      </c>
      <c r="P115" s="104"/>
    </row>
    <row r="116" spans="1:16" s="74" customFormat="1" x14ac:dyDescent="0.2">
      <c r="A116" s="57" t="s">
        <v>374</v>
      </c>
      <c r="B116" s="57" t="s">
        <v>374</v>
      </c>
      <c r="C116" s="67" t="s">
        <v>331</v>
      </c>
      <c r="D116" s="67" t="s">
        <v>163</v>
      </c>
      <c r="E116" s="67">
        <v>6</v>
      </c>
      <c r="F116" s="67" t="s">
        <v>101</v>
      </c>
      <c r="G116" s="67">
        <v>1</v>
      </c>
      <c r="H116" s="67" t="s">
        <v>100</v>
      </c>
      <c r="I116" s="60" t="s">
        <v>99</v>
      </c>
      <c r="J116" s="68" t="str">
        <f t="shared" si="0"/>
        <v>CM CF D Common Aminities</v>
      </c>
      <c r="K116" s="69" t="str">
        <f t="shared" si="1"/>
        <v>CM CF D6 Doors &amp; Windows</v>
      </c>
      <c r="L116" s="70" t="str">
        <f t="shared" si="2"/>
        <v>CM CF D6-1 Door Frames</v>
      </c>
      <c r="M116" s="71" t="str">
        <f t="shared" si="3"/>
        <v>CM PL D Common Aminities</v>
      </c>
      <c r="N116" s="72" t="str">
        <f t="shared" si="4"/>
        <v>CM PL D6 Doors &amp; Windows</v>
      </c>
      <c r="O116" s="73" t="str">
        <f t="shared" si="5"/>
        <v>CM PL D6-1 Door Frames</v>
      </c>
      <c r="P116" s="104"/>
    </row>
    <row r="117" spans="1:16" s="74" customFormat="1" x14ac:dyDescent="0.2">
      <c r="A117" s="57" t="s">
        <v>374</v>
      </c>
      <c r="B117" s="57" t="s">
        <v>374</v>
      </c>
      <c r="C117" s="67" t="s">
        <v>331</v>
      </c>
      <c r="D117" s="67" t="s">
        <v>163</v>
      </c>
      <c r="E117" s="67">
        <v>6</v>
      </c>
      <c r="F117" s="67" t="s">
        <v>101</v>
      </c>
      <c r="G117" s="67">
        <v>2</v>
      </c>
      <c r="H117" s="67" t="s">
        <v>98</v>
      </c>
      <c r="I117" s="60" t="s">
        <v>97</v>
      </c>
      <c r="J117" s="68" t="str">
        <f t="shared" si="0"/>
        <v>CM CF D Common Aminities</v>
      </c>
      <c r="K117" s="69" t="str">
        <f t="shared" si="1"/>
        <v>CM CF D6 Doors &amp; Windows</v>
      </c>
      <c r="L117" s="70" t="str">
        <f t="shared" si="2"/>
        <v>CM CF D6-2 Door Shutters</v>
      </c>
      <c r="M117" s="71" t="str">
        <f t="shared" si="3"/>
        <v>CM PL D Common Aminities</v>
      </c>
      <c r="N117" s="72" t="str">
        <f t="shared" si="4"/>
        <v>CM PL D6 Doors &amp; Windows</v>
      </c>
      <c r="O117" s="73" t="str">
        <f t="shared" si="5"/>
        <v>CM PL D6-2 Door Shutters</v>
      </c>
      <c r="P117" s="104"/>
    </row>
    <row r="118" spans="1:16" s="74" customFormat="1" x14ac:dyDescent="0.2">
      <c r="A118" s="57" t="s">
        <v>374</v>
      </c>
      <c r="B118" s="57" t="s">
        <v>374</v>
      </c>
      <c r="C118" s="67" t="s">
        <v>331</v>
      </c>
      <c r="D118" s="67" t="s">
        <v>163</v>
      </c>
      <c r="E118" s="67">
        <v>6</v>
      </c>
      <c r="F118" s="67" t="s">
        <v>101</v>
      </c>
      <c r="G118" s="67">
        <v>3</v>
      </c>
      <c r="H118" s="67" t="s">
        <v>96</v>
      </c>
      <c r="I118" s="60" t="s">
        <v>95</v>
      </c>
      <c r="J118" s="68" t="str">
        <f t="shared" si="0"/>
        <v>CM CF D Common Aminities</v>
      </c>
      <c r="K118" s="69" t="str">
        <f t="shared" si="1"/>
        <v>CM CF D6 Doors &amp; Windows</v>
      </c>
      <c r="L118" s="70" t="str">
        <f t="shared" si="2"/>
        <v>CM CF D6-3 Window Frames</v>
      </c>
      <c r="M118" s="71" t="str">
        <f t="shared" si="3"/>
        <v>CM PL D Common Aminities</v>
      </c>
      <c r="N118" s="72" t="str">
        <f t="shared" si="4"/>
        <v>CM PL D6 Doors &amp; Windows</v>
      </c>
      <c r="O118" s="73" t="str">
        <f t="shared" si="5"/>
        <v>CM PL D6-3 Window Frames</v>
      </c>
      <c r="P118" s="104"/>
    </row>
    <row r="119" spans="1:16" s="74" customFormat="1" x14ac:dyDescent="0.2">
      <c r="A119" s="57" t="s">
        <v>374</v>
      </c>
      <c r="B119" s="57" t="s">
        <v>374</v>
      </c>
      <c r="C119" s="67" t="s">
        <v>331</v>
      </c>
      <c r="D119" s="67" t="s">
        <v>163</v>
      </c>
      <c r="E119" s="67">
        <v>6</v>
      </c>
      <c r="F119" s="67" t="s">
        <v>101</v>
      </c>
      <c r="G119" s="67">
        <v>4</v>
      </c>
      <c r="H119" s="67" t="s">
        <v>94</v>
      </c>
      <c r="I119" s="60" t="s">
        <v>92</v>
      </c>
      <c r="J119" s="68" t="str">
        <f t="shared" si="0"/>
        <v>CM CF D Common Aminities</v>
      </c>
      <c r="K119" s="69" t="str">
        <f t="shared" si="1"/>
        <v>CM CF D6 Doors &amp; Windows</v>
      </c>
      <c r="L119" s="70" t="str">
        <f t="shared" si="2"/>
        <v>CM CF D6-4 Glass</v>
      </c>
      <c r="M119" s="71" t="str">
        <f t="shared" si="3"/>
        <v>CM PL D Common Aminities</v>
      </c>
      <c r="N119" s="72" t="str">
        <f t="shared" si="4"/>
        <v>CM PL D6 Doors &amp; Windows</v>
      </c>
      <c r="O119" s="73" t="str">
        <f t="shared" si="5"/>
        <v>CM PL D6-4 Glass</v>
      </c>
      <c r="P119" s="104"/>
    </row>
    <row r="120" spans="1:16" s="74" customFormat="1" x14ac:dyDescent="0.2">
      <c r="A120" s="57" t="s">
        <v>374</v>
      </c>
      <c r="B120" s="57" t="s">
        <v>374</v>
      </c>
      <c r="C120" s="67" t="s">
        <v>331</v>
      </c>
      <c r="D120" s="67" t="s">
        <v>163</v>
      </c>
      <c r="E120" s="67">
        <v>7</v>
      </c>
      <c r="F120" s="67" t="s">
        <v>91</v>
      </c>
      <c r="G120" s="67">
        <v>1</v>
      </c>
      <c r="H120" s="67" t="s">
        <v>90</v>
      </c>
      <c r="I120" s="60" t="s">
        <v>89</v>
      </c>
      <c r="J120" s="68" t="str">
        <f t="shared" si="0"/>
        <v>CM CF D Common Aminities</v>
      </c>
      <c r="K120" s="69" t="str">
        <f t="shared" si="1"/>
        <v>CM CF D7 Electrical</v>
      </c>
      <c r="L120" s="70" t="str">
        <f t="shared" si="2"/>
        <v>CM CF D7-1 Wires</v>
      </c>
      <c r="M120" s="71" t="str">
        <f t="shared" si="3"/>
        <v>CM PL D Common Aminities</v>
      </c>
      <c r="N120" s="72" t="str">
        <f t="shared" si="4"/>
        <v>CM PL D7 Electrical</v>
      </c>
      <c r="O120" s="73" t="str">
        <f t="shared" si="5"/>
        <v>CM PL D7-1 Wires</v>
      </c>
      <c r="P120" s="104"/>
    </row>
    <row r="121" spans="1:16" s="74" customFormat="1" x14ac:dyDescent="0.2">
      <c r="A121" s="57" t="s">
        <v>374</v>
      </c>
      <c r="B121" s="57" t="s">
        <v>374</v>
      </c>
      <c r="C121" s="67" t="s">
        <v>331</v>
      </c>
      <c r="D121" s="67" t="s">
        <v>163</v>
      </c>
      <c r="E121" s="67">
        <v>7</v>
      </c>
      <c r="F121" s="67" t="s">
        <v>91</v>
      </c>
      <c r="G121" s="67">
        <v>2</v>
      </c>
      <c r="H121" s="67" t="s">
        <v>88</v>
      </c>
      <c r="I121" s="60" t="s">
        <v>87</v>
      </c>
      <c r="J121" s="68" t="str">
        <f t="shared" si="0"/>
        <v>CM CF D Common Aminities</v>
      </c>
      <c r="K121" s="69" t="str">
        <f t="shared" si="1"/>
        <v>CM CF D7 Electrical</v>
      </c>
      <c r="L121" s="70" t="str">
        <f t="shared" si="2"/>
        <v>CM CF D7-2 Switches</v>
      </c>
      <c r="M121" s="71" t="str">
        <f t="shared" si="3"/>
        <v>CM PL D Common Aminities</v>
      </c>
      <c r="N121" s="72" t="str">
        <f t="shared" si="4"/>
        <v>CM PL D7 Electrical</v>
      </c>
      <c r="O121" s="73" t="str">
        <f t="shared" si="5"/>
        <v>CM PL D7-2 Switches</v>
      </c>
      <c r="P121" s="104"/>
    </row>
    <row r="122" spans="1:16" s="74" customFormat="1" x14ac:dyDescent="0.2">
      <c r="A122" s="57" t="s">
        <v>374</v>
      </c>
      <c r="B122" s="57" t="s">
        <v>374</v>
      </c>
      <c r="C122" s="67" t="s">
        <v>331</v>
      </c>
      <c r="D122" s="67" t="s">
        <v>163</v>
      </c>
      <c r="E122" s="67">
        <v>7</v>
      </c>
      <c r="F122" s="67" t="s">
        <v>91</v>
      </c>
      <c r="G122" s="67">
        <v>3</v>
      </c>
      <c r="H122" s="67" t="s">
        <v>86</v>
      </c>
      <c r="I122" s="60" t="s">
        <v>85</v>
      </c>
      <c r="J122" s="68" t="str">
        <f t="shared" si="0"/>
        <v>CM CF D Common Aminities</v>
      </c>
      <c r="K122" s="69" t="str">
        <f t="shared" si="1"/>
        <v>CM CF D7 Electrical</v>
      </c>
      <c r="L122" s="70" t="str">
        <f t="shared" si="2"/>
        <v>CM CF D7-3 DB Panels</v>
      </c>
      <c r="M122" s="71" t="str">
        <f t="shared" si="3"/>
        <v>CM PL D Common Aminities</v>
      </c>
      <c r="N122" s="72" t="str">
        <f t="shared" si="4"/>
        <v>CM PL D7 Electrical</v>
      </c>
      <c r="O122" s="73" t="str">
        <f t="shared" si="5"/>
        <v>CM PL D7-3 DB Panels</v>
      </c>
      <c r="P122" s="104"/>
    </row>
    <row r="123" spans="1:16" s="74" customFormat="1" x14ac:dyDescent="0.2">
      <c r="A123" s="57" t="s">
        <v>374</v>
      </c>
      <c r="B123" s="57" t="s">
        <v>374</v>
      </c>
      <c r="C123" s="67" t="s">
        <v>331</v>
      </c>
      <c r="D123" s="67" t="s">
        <v>163</v>
      </c>
      <c r="E123" s="67">
        <v>7</v>
      </c>
      <c r="F123" s="67" t="s">
        <v>91</v>
      </c>
      <c r="G123" s="67">
        <v>4</v>
      </c>
      <c r="H123" s="67" t="s">
        <v>84</v>
      </c>
      <c r="I123" s="60" t="s">
        <v>82</v>
      </c>
      <c r="J123" s="68" t="str">
        <f t="shared" si="0"/>
        <v>CM CF D Common Aminities</v>
      </c>
      <c r="K123" s="69" t="str">
        <f t="shared" si="1"/>
        <v>CM CF D7 Electrical</v>
      </c>
      <c r="L123" s="70" t="str">
        <f t="shared" si="2"/>
        <v>CM CF D7-4 Electrical Labour</v>
      </c>
      <c r="M123" s="71" t="str">
        <f t="shared" si="3"/>
        <v>CM PL D Common Aminities</v>
      </c>
      <c r="N123" s="72" t="str">
        <f t="shared" si="4"/>
        <v>CM PL D7 Electrical</v>
      </c>
      <c r="O123" s="73" t="str">
        <f t="shared" si="5"/>
        <v>CM PL D7-4 Electrical Labour</v>
      </c>
      <c r="P123" s="104"/>
    </row>
    <row r="124" spans="1:16" s="74" customFormat="1" x14ac:dyDescent="0.2">
      <c r="A124" s="57" t="s">
        <v>374</v>
      </c>
      <c r="B124" s="57" t="s">
        <v>374</v>
      </c>
      <c r="C124" s="67" t="s">
        <v>331</v>
      </c>
      <c r="D124" s="67" t="s">
        <v>163</v>
      </c>
      <c r="E124" s="67">
        <v>7</v>
      </c>
      <c r="F124" s="67" t="s">
        <v>91</v>
      </c>
      <c r="G124" s="67">
        <v>5</v>
      </c>
      <c r="H124" s="67" t="s">
        <v>83</v>
      </c>
      <c r="I124" s="60" t="s">
        <v>82</v>
      </c>
      <c r="J124" s="68" t="str">
        <f t="shared" si="0"/>
        <v>CM CF D Common Aminities</v>
      </c>
      <c r="K124" s="69" t="str">
        <f t="shared" si="1"/>
        <v>CM CF D7 Electrical</v>
      </c>
      <c r="L124" s="70" t="str">
        <f t="shared" si="2"/>
        <v>CM CF D7-5 Lights</v>
      </c>
      <c r="M124" s="71" t="str">
        <f t="shared" si="3"/>
        <v>CM PL D Common Aminities</v>
      </c>
      <c r="N124" s="72" t="str">
        <f t="shared" si="4"/>
        <v>CM PL D7 Electrical</v>
      </c>
      <c r="O124" s="73" t="str">
        <f t="shared" si="5"/>
        <v>CM PL D7-5 Lights</v>
      </c>
      <c r="P124" s="104"/>
    </row>
    <row r="125" spans="1:16" s="74" customFormat="1" x14ac:dyDescent="0.2">
      <c r="A125" s="57" t="s">
        <v>374</v>
      </c>
      <c r="B125" s="57" t="s">
        <v>374</v>
      </c>
      <c r="C125" s="67" t="s">
        <v>331</v>
      </c>
      <c r="D125" s="67" t="s">
        <v>163</v>
      </c>
      <c r="E125" s="67">
        <v>7</v>
      </c>
      <c r="F125" s="67" t="s">
        <v>91</v>
      </c>
      <c r="G125" s="67">
        <v>6</v>
      </c>
      <c r="H125" s="67" t="s">
        <v>160</v>
      </c>
      <c r="I125" s="60"/>
      <c r="J125" s="68" t="str">
        <f t="shared" si="0"/>
        <v>CM CF D Common Aminities</v>
      </c>
      <c r="K125" s="69" t="str">
        <f t="shared" si="1"/>
        <v>CM CF D7 Electrical</v>
      </c>
      <c r="L125" s="70" t="str">
        <f t="shared" si="2"/>
        <v>CM CF D7-6 Other electrical material</v>
      </c>
      <c r="M125" s="71" t="str">
        <f t="shared" si="3"/>
        <v>CM PL D Common Aminities</v>
      </c>
      <c r="N125" s="72" t="str">
        <f t="shared" si="4"/>
        <v>CM PL D7 Electrical</v>
      </c>
      <c r="O125" s="73" t="str">
        <f t="shared" si="5"/>
        <v>CM PL D7-6 Other electrical material</v>
      </c>
      <c r="P125" s="104"/>
    </row>
    <row r="126" spans="1:16" s="74" customFormat="1" x14ac:dyDescent="0.2">
      <c r="A126" s="57" t="s">
        <v>374</v>
      </c>
      <c r="B126" s="57" t="s">
        <v>374</v>
      </c>
      <c r="C126" s="67" t="s">
        <v>331</v>
      </c>
      <c r="D126" s="67" t="s">
        <v>163</v>
      </c>
      <c r="E126" s="67">
        <v>7</v>
      </c>
      <c r="F126" s="67" t="s">
        <v>91</v>
      </c>
      <c r="G126" s="67">
        <v>7</v>
      </c>
      <c r="H126" s="67" t="s">
        <v>159</v>
      </c>
      <c r="I126" s="60"/>
      <c r="J126" s="68" t="str">
        <f t="shared" si="0"/>
        <v>CM CF D Common Aminities</v>
      </c>
      <c r="K126" s="69" t="str">
        <f t="shared" si="1"/>
        <v>CM CF D7 Electrical</v>
      </c>
      <c r="L126" s="70" t="str">
        <f t="shared" si="2"/>
        <v>CM CF D7-7 Electrical Transformer</v>
      </c>
      <c r="M126" s="71" t="str">
        <f t="shared" si="3"/>
        <v>CM PL D Common Aminities</v>
      </c>
      <c r="N126" s="72" t="str">
        <f t="shared" si="4"/>
        <v>CM PL D7 Electrical</v>
      </c>
      <c r="O126" s="73" t="str">
        <f t="shared" si="5"/>
        <v>CM PL D7-7 Electrical Transformer</v>
      </c>
      <c r="P126" s="104"/>
    </row>
    <row r="127" spans="1:16" s="74" customFormat="1" x14ac:dyDescent="0.2">
      <c r="A127" s="57" t="s">
        <v>374</v>
      </c>
      <c r="B127" s="57" t="s">
        <v>374</v>
      </c>
      <c r="C127" s="67" t="s">
        <v>331</v>
      </c>
      <c r="D127" s="67" t="s">
        <v>163</v>
      </c>
      <c r="E127" s="67">
        <v>8</v>
      </c>
      <c r="F127" s="67" t="s">
        <v>80</v>
      </c>
      <c r="G127" s="67">
        <v>1</v>
      </c>
      <c r="H127" s="67" t="s">
        <v>79</v>
      </c>
      <c r="I127" s="60" t="s">
        <v>78</v>
      </c>
      <c r="J127" s="68" t="str">
        <f t="shared" si="0"/>
        <v>CM CF D Common Aminities</v>
      </c>
      <c r="K127" s="69" t="str">
        <f t="shared" si="1"/>
        <v>CM CF D8 Plumbing</v>
      </c>
      <c r="L127" s="70" t="str">
        <f t="shared" si="2"/>
        <v>CM CF D8-1 Pipes</v>
      </c>
      <c r="M127" s="71" t="str">
        <f t="shared" si="3"/>
        <v>CM PL D Common Aminities</v>
      </c>
      <c r="N127" s="72" t="str">
        <f t="shared" si="4"/>
        <v>CM PL D8 Plumbing</v>
      </c>
      <c r="O127" s="73" t="str">
        <f t="shared" si="5"/>
        <v>CM PL D8-1 Pipes</v>
      </c>
      <c r="P127" s="104"/>
    </row>
    <row r="128" spans="1:16" s="74" customFormat="1" x14ac:dyDescent="0.2">
      <c r="A128" s="57" t="s">
        <v>374</v>
      </c>
      <c r="B128" s="57" t="s">
        <v>374</v>
      </c>
      <c r="C128" s="67" t="s">
        <v>331</v>
      </c>
      <c r="D128" s="67" t="s">
        <v>163</v>
      </c>
      <c r="E128" s="67">
        <v>8</v>
      </c>
      <c r="F128" s="67" t="s">
        <v>80</v>
      </c>
      <c r="G128" s="67">
        <v>2</v>
      </c>
      <c r="H128" s="67" t="s">
        <v>77</v>
      </c>
      <c r="I128" s="60" t="s">
        <v>76</v>
      </c>
      <c r="J128" s="68" t="str">
        <f t="shared" si="0"/>
        <v>CM CF D Common Aminities</v>
      </c>
      <c r="K128" s="69" t="str">
        <f t="shared" si="1"/>
        <v>CM CF D8 Plumbing</v>
      </c>
      <c r="L128" s="70" t="str">
        <f t="shared" si="2"/>
        <v>CM CF D8-2 Fittings</v>
      </c>
      <c r="M128" s="71" t="str">
        <f t="shared" si="3"/>
        <v>CM PL D Common Aminities</v>
      </c>
      <c r="N128" s="72" t="str">
        <f t="shared" si="4"/>
        <v>CM PL D8 Plumbing</v>
      </c>
      <c r="O128" s="73" t="str">
        <f t="shared" si="5"/>
        <v>CM PL D8-2 Fittings</v>
      </c>
      <c r="P128" s="104"/>
    </row>
    <row r="129" spans="1:16" s="74" customFormat="1" x14ac:dyDescent="0.2">
      <c r="A129" s="57" t="s">
        <v>374</v>
      </c>
      <c r="B129" s="57" t="s">
        <v>374</v>
      </c>
      <c r="C129" s="67" t="s">
        <v>331</v>
      </c>
      <c r="D129" s="67" t="s">
        <v>163</v>
      </c>
      <c r="E129" s="67">
        <v>8</v>
      </c>
      <c r="F129" s="67" t="s">
        <v>80</v>
      </c>
      <c r="G129" s="67">
        <v>3</v>
      </c>
      <c r="H129" s="67" t="s">
        <v>75</v>
      </c>
      <c r="I129" s="60" t="s">
        <v>74</v>
      </c>
      <c r="J129" s="68" t="str">
        <f t="shared" si="0"/>
        <v>CM CF D Common Aminities</v>
      </c>
      <c r="K129" s="69" t="str">
        <f t="shared" si="1"/>
        <v>CM CF D8 Plumbing</v>
      </c>
      <c r="L129" s="70" t="str">
        <f t="shared" si="2"/>
        <v>CM CF D8-3 Plumbing Labour</v>
      </c>
      <c r="M129" s="71" t="str">
        <f t="shared" si="3"/>
        <v>CM PL D Common Aminities</v>
      </c>
      <c r="N129" s="72" t="str">
        <f t="shared" si="4"/>
        <v>CM PL D8 Plumbing</v>
      </c>
      <c r="O129" s="73" t="str">
        <f t="shared" si="5"/>
        <v>CM PL D8-3 Plumbing Labour</v>
      </c>
      <c r="P129" s="104"/>
    </row>
    <row r="130" spans="1:16" s="74" customFormat="1" x14ac:dyDescent="0.2">
      <c r="A130" s="57" t="s">
        <v>374</v>
      </c>
      <c r="B130" s="57" t="s">
        <v>374</v>
      </c>
      <c r="C130" s="67" t="s">
        <v>331</v>
      </c>
      <c r="D130" s="67" t="s">
        <v>163</v>
      </c>
      <c r="E130" s="67">
        <v>8</v>
      </c>
      <c r="F130" s="67" t="s">
        <v>80</v>
      </c>
      <c r="G130" s="67">
        <v>4</v>
      </c>
      <c r="H130" s="67" t="s">
        <v>158</v>
      </c>
      <c r="I130" s="60"/>
      <c r="J130" s="68" t="str">
        <f t="shared" si="0"/>
        <v>CM CF D Common Aminities</v>
      </c>
      <c r="K130" s="69" t="str">
        <f t="shared" si="1"/>
        <v>CM CF D8 Plumbing</v>
      </c>
      <c r="L130" s="70" t="str">
        <f t="shared" si="2"/>
        <v>CM CF D8-4 Other Plumbing material</v>
      </c>
      <c r="M130" s="71" t="str">
        <f t="shared" si="3"/>
        <v>CM PL D Common Aminities</v>
      </c>
      <c r="N130" s="72" t="str">
        <f t="shared" si="4"/>
        <v>CM PL D8 Plumbing</v>
      </c>
      <c r="O130" s="73" t="str">
        <f t="shared" si="5"/>
        <v>CM PL D8-4 Other Plumbing material</v>
      </c>
      <c r="P130" s="104"/>
    </row>
    <row r="131" spans="1:16" s="74" customFormat="1" x14ac:dyDescent="0.2">
      <c r="A131" s="57" t="s">
        <v>374</v>
      </c>
      <c r="B131" s="57" t="s">
        <v>374</v>
      </c>
      <c r="C131" s="67" t="s">
        <v>331</v>
      </c>
      <c r="D131" s="67" t="s">
        <v>163</v>
      </c>
      <c r="E131" s="67">
        <v>9</v>
      </c>
      <c r="F131" s="67" t="s">
        <v>73</v>
      </c>
      <c r="G131" s="67">
        <v>1</v>
      </c>
      <c r="H131" s="67" t="s">
        <v>72</v>
      </c>
      <c r="I131" s="60" t="s">
        <v>71</v>
      </c>
      <c r="J131" s="68" t="str">
        <f t="shared" si="0"/>
        <v>CM CF D Common Aminities</v>
      </c>
      <c r="K131" s="69" t="str">
        <f t="shared" si="1"/>
        <v>CM CF D9 Waterproofing</v>
      </c>
      <c r="L131" s="70" t="str">
        <f t="shared" si="2"/>
        <v>CM CF D9-1 Chemical Waterproofing</v>
      </c>
      <c r="M131" s="71" t="str">
        <f t="shared" si="3"/>
        <v>CM PL D Common Aminities</v>
      </c>
      <c r="N131" s="72" t="str">
        <f t="shared" si="4"/>
        <v>CM PL D9 Waterproofing</v>
      </c>
      <c r="O131" s="73" t="str">
        <f t="shared" si="5"/>
        <v>CM PL D9-1 Chemical Waterproofing</v>
      </c>
      <c r="P131" s="104"/>
    </row>
    <row r="132" spans="1:16" s="74" customFormat="1" x14ac:dyDescent="0.2">
      <c r="A132" s="57" t="s">
        <v>374</v>
      </c>
      <c r="B132" s="57" t="s">
        <v>374</v>
      </c>
      <c r="C132" s="67" t="s">
        <v>331</v>
      </c>
      <c r="D132" s="67" t="s">
        <v>163</v>
      </c>
      <c r="E132" s="67">
        <v>9</v>
      </c>
      <c r="F132" s="67" t="s">
        <v>73</v>
      </c>
      <c r="G132" s="67">
        <v>2</v>
      </c>
      <c r="H132" s="67" t="s">
        <v>70</v>
      </c>
      <c r="I132" s="60" t="s">
        <v>69</v>
      </c>
      <c r="J132" s="68" t="str">
        <f t="shared" si="0"/>
        <v>CM CF D Common Aminities</v>
      </c>
      <c r="K132" s="69" t="str">
        <f t="shared" si="1"/>
        <v>CM CF D9 Waterproofing</v>
      </c>
      <c r="L132" s="70" t="str">
        <f t="shared" si="2"/>
        <v>CM CF D9-2 Waterproofing Labour</v>
      </c>
      <c r="M132" s="71" t="str">
        <f t="shared" si="3"/>
        <v>CM PL D Common Aminities</v>
      </c>
      <c r="N132" s="72" t="str">
        <f t="shared" si="4"/>
        <v>CM PL D9 Waterproofing</v>
      </c>
      <c r="O132" s="73" t="str">
        <f t="shared" si="5"/>
        <v>CM PL D9-2 Waterproofing Labour</v>
      </c>
      <c r="P132" s="104"/>
    </row>
    <row r="133" spans="1:16" s="74" customFormat="1" x14ac:dyDescent="0.2">
      <c r="A133" s="57" t="s">
        <v>374</v>
      </c>
      <c r="B133" s="57" t="s">
        <v>374</v>
      </c>
      <c r="C133" s="67" t="s">
        <v>331</v>
      </c>
      <c r="D133" s="67" t="s">
        <v>163</v>
      </c>
      <c r="E133" s="67">
        <v>10</v>
      </c>
      <c r="F133" s="67" t="s">
        <v>68</v>
      </c>
      <c r="G133" s="67">
        <v>1</v>
      </c>
      <c r="H133" s="67" t="s">
        <v>67</v>
      </c>
      <c r="I133" s="60" t="s">
        <v>66</v>
      </c>
      <c r="J133" s="68" t="str">
        <f t="shared" si="0"/>
        <v>CM CF D Common Aminities</v>
      </c>
      <c r="K133" s="69" t="str">
        <f t="shared" si="1"/>
        <v>CM CF D10 Painting</v>
      </c>
      <c r="L133" s="70" t="str">
        <f t="shared" si="2"/>
        <v>CM CF D10-1 Primer</v>
      </c>
      <c r="M133" s="71" t="str">
        <f t="shared" si="3"/>
        <v>CM PL D Common Aminities</v>
      </c>
      <c r="N133" s="72" t="str">
        <f t="shared" si="4"/>
        <v>CM PL D10 Painting</v>
      </c>
      <c r="O133" s="73" t="str">
        <f t="shared" si="5"/>
        <v>CM PL D10-1 Primer</v>
      </c>
      <c r="P133" s="104"/>
    </row>
    <row r="134" spans="1:16" s="74" customFormat="1" x14ac:dyDescent="0.2">
      <c r="A134" s="57" t="s">
        <v>374</v>
      </c>
      <c r="B134" s="57" t="s">
        <v>374</v>
      </c>
      <c r="C134" s="67" t="s">
        <v>331</v>
      </c>
      <c r="D134" s="67" t="s">
        <v>163</v>
      </c>
      <c r="E134" s="67">
        <v>10</v>
      </c>
      <c r="F134" s="67" t="s">
        <v>68</v>
      </c>
      <c r="G134" s="67">
        <v>2</v>
      </c>
      <c r="H134" s="67" t="s">
        <v>65</v>
      </c>
      <c r="I134" s="60" t="s">
        <v>64</v>
      </c>
      <c r="J134" s="68" t="str">
        <f t="shared" si="0"/>
        <v>CM CF D Common Aminities</v>
      </c>
      <c r="K134" s="69" t="str">
        <f t="shared" si="1"/>
        <v>CM CF D10 Painting</v>
      </c>
      <c r="L134" s="70" t="str">
        <f t="shared" si="2"/>
        <v>CM CF D10-2 Paint</v>
      </c>
      <c r="M134" s="71" t="str">
        <f t="shared" si="3"/>
        <v>CM PL D Common Aminities</v>
      </c>
      <c r="N134" s="72" t="str">
        <f t="shared" si="4"/>
        <v>CM PL D10 Painting</v>
      </c>
      <c r="O134" s="73" t="str">
        <f t="shared" si="5"/>
        <v>CM PL D10-2 Paint</v>
      </c>
      <c r="P134" s="104"/>
    </row>
    <row r="135" spans="1:16" s="74" customFormat="1" x14ac:dyDescent="0.2">
      <c r="A135" s="57" t="s">
        <v>374</v>
      </c>
      <c r="B135" s="57" t="s">
        <v>374</v>
      </c>
      <c r="C135" s="67" t="s">
        <v>331</v>
      </c>
      <c r="D135" s="67" t="s">
        <v>163</v>
      </c>
      <c r="E135" s="67">
        <v>10</v>
      </c>
      <c r="F135" s="67" t="s">
        <v>68</v>
      </c>
      <c r="G135" s="67">
        <v>3</v>
      </c>
      <c r="H135" s="67" t="s">
        <v>63</v>
      </c>
      <c r="I135" s="60" t="s">
        <v>62</v>
      </c>
      <c r="J135" s="68" t="str">
        <f t="shared" si="0"/>
        <v>CM CF D Common Aminities</v>
      </c>
      <c r="K135" s="69" t="str">
        <f t="shared" si="1"/>
        <v>CM CF D10 Painting</v>
      </c>
      <c r="L135" s="70" t="str">
        <f t="shared" si="2"/>
        <v>CM CF D10-3 Painting Labour</v>
      </c>
      <c r="M135" s="71" t="str">
        <f t="shared" si="3"/>
        <v>CM PL D Common Aminities</v>
      </c>
      <c r="N135" s="72" t="str">
        <f t="shared" si="4"/>
        <v>CM PL D10 Painting</v>
      </c>
      <c r="O135" s="73" t="str">
        <f t="shared" si="5"/>
        <v>CM PL D10-3 Painting Labour</v>
      </c>
      <c r="P135" s="104"/>
    </row>
    <row r="136" spans="1:16" s="74" customFormat="1" x14ac:dyDescent="0.2">
      <c r="A136" s="57" t="s">
        <v>374</v>
      </c>
      <c r="B136" s="57" t="s">
        <v>374</v>
      </c>
      <c r="C136" s="67" t="s">
        <v>331</v>
      </c>
      <c r="D136" s="67" t="s">
        <v>163</v>
      </c>
      <c r="E136" s="67">
        <v>10</v>
      </c>
      <c r="F136" s="67" t="s">
        <v>68</v>
      </c>
      <c r="G136" s="67">
        <v>4</v>
      </c>
      <c r="H136" s="67" t="s">
        <v>157</v>
      </c>
      <c r="I136" s="60"/>
      <c r="J136" s="68" t="str">
        <f t="shared" si="0"/>
        <v>CM CF D Common Aminities</v>
      </c>
      <c r="K136" s="69" t="str">
        <f t="shared" si="1"/>
        <v>CM CF D10 Painting</v>
      </c>
      <c r="L136" s="70" t="str">
        <f t="shared" si="2"/>
        <v>CM CF D10-4 Landscaping/ Painting Work</v>
      </c>
      <c r="M136" s="71" t="str">
        <f t="shared" si="3"/>
        <v>CM PL D Common Aminities</v>
      </c>
      <c r="N136" s="72" t="str">
        <f t="shared" si="4"/>
        <v>CM PL D10 Painting</v>
      </c>
      <c r="O136" s="73" t="str">
        <f t="shared" si="5"/>
        <v>CM PL D10-4 Landscaping/ Painting Work</v>
      </c>
      <c r="P136" s="104"/>
    </row>
    <row r="137" spans="1:16" s="74" customFormat="1" x14ac:dyDescent="0.2">
      <c r="A137" s="57" t="s">
        <v>374</v>
      </c>
      <c r="B137" s="57" t="s">
        <v>374</v>
      </c>
      <c r="C137" s="67" t="s">
        <v>331</v>
      </c>
      <c r="D137" s="67" t="s">
        <v>163</v>
      </c>
      <c r="E137" s="67">
        <v>11</v>
      </c>
      <c r="F137" s="67" t="s">
        <v>61</v>
      </c>
      <c r="G137" s="67">
        <v>1</v>
      </c>
      <c r="H137" s="67" t="s">
        <v>61</v>
      </c>
      <c r="I137" s="60" t="s">
        <v>60</v>
      </c>
      <c r="J137" s="68" t="str">
        <f t="shared" si="0"/>
        <v>CM CF D Common Aminities</v>
      </c>
      <c r="K137" s="69" t="str">
        <f t="shared" si="1"/>
        <v>CM CF D11 Furniture/Equipments</v>
      </c>
      <c r="L137" s="70" t="str">
        <f t="shared" si="2"/>
        <v>CM CF D11-1 Furniture/Equipments</v>
      </c>
      <c r="M137" s="71" t="str">
        <f t="shared" si="3"/>
        <v>CM PL D Common Aminities</v>
      </c>
      <c r="N137" s="72" t="str">
        <f t="shared" si="4"/>
        <v>CM PL D11 Furniture/Equipments</v>
      </c>
      <c r="O137" s="73" t="str">
        <f t="shared" si="5"/>
        <v>CM PL D11-1 Furniture/Equipments</v>
      </c>
      <c r="P137" s="104"/>
    </row>
    <row r="138" spans="1:16" s="74" customFormat="1" x14ac:dyDescent="0.2">
      <c r="A138" s="57" t="s">
        <v>374</v>
      </c>
      <c r="B138" s="57" t="s">
        <v>374</v>
      </c>
      <c r="C138" s="67" t="s">
        <v>331</v>
      </c>
      <c r="D138" s="67" t="s">
        <v>163</v>
      </c>
      <c r="E138" s="67">
        <v>11</v>
      </c>
      <c r="F138" s="67" t="s">
        <v>61</v>
      </c>
      <c r="G138" s="67">
        <v>2</v>
      </c>
      <c r="H138" s="67" t="s">
        <v>156</v>
      </c>
      <c r="I138" s="60"/>
      <c r="J138" s="68" t="str">
        <f t="shared" si="0"/>
        <v>CM CF D Common Aminities</v>
      </c>
      <c r="K138" s="69" t="str">
        <f t="shared" si="1"/>
        <v>CM CF D11 Furniture/Equipments</v>
      </c>
      <c r="L138" s="70" t="str">
        <f t="shared" si="2"/>
        <v>CM CF D11-2 Flag Pole</v>
      </c>
      <c r="M138" s="71" t="str">
        <f t="shared" si="3"/>
        <v>CM PL D Common Aminities</v>
      </c>
      <c r="N138" s="72" t="str">
        <f t="shared" si="4"/>
        <v>CM PL D11 Furniture/Equipments</v>
      </c>
      <c r="O138" s="73" t="str">
        <f t="shared" si="5"/>
        <v>CM PL D11-2 Flag Pole</v>
      </c>
      <c r="P138" s="104"/>
    </row>
    <row r="139" spans="1:16" s="74" customFormat="1" x14ac:dyDescent="0.2">
      <c r="A139" s="57" t="s">
        <v>374</v>
      </c>
      <c r="B139" s="57" t="s">
        <v>374</v>
      </c>
      <c r="C139" s="67" t="s">
        <v>331</v>
      </c>
      <c r="D139" s="67" t="s">
        <v>163</v>
      </c>
      <c r="E139" s="67">
        <v>12</v>
      </c>
      <c r="F139" s="67" t="s">
        <v>59</v>
      </c>
      <c r="G139" s="67">
        <v>1</v>
      </c>
      <c r="H139" s="67" t="s">
        <v>59</v>
      </c>
      <c r="I139" s="60" t="s">
        <v>145</v>
      </c>
      <c r="J139" s="68" t="str">
        <f t="shared" si="0"/>
        <v>CM CF D Common Aminities</v>
      </c>
      <c r="K139" s="69" t="str">
        <f t="shared" si="1"/>
        <v>CM CF D12 POP</v>
      </c>
      <c r="L139" s="70" t="str">
        <f t="shared" si="2"/>
        <v>CM CF D12-1 POP</v>
      </c>
      <c r="M139" s="71" t="str">
        <f t="shared" si="3"/>
        <v>CM PL D Common Aminities</v>
      </c>
      <c r="N139" s="72" t="str">
        <f t="shared" si="4"/>
        <v>CM PL D12 POP</v>
      </c>
      <c r="O139" s="73" t="str">
        <f t="shared" si="5"/>
        <v>CM PL D12-1 POP</v>
      </c>
      <c r="P139" s="104"/>
    </row>
    <row r="140" spans="1:16" s="74" customFormat="1" x14ac:dyDescent="0.2">
      <c r="A140" s="57" t="s">
        <v>374</v>
      </c>
      <c r="B140" s="57" t="s">
        <v>374</v>
      </c>
      <c r="C140" s="67" t="s">
        <v>331</v>
      </c>
      <c r="D140" s="67" t="s">
        <v>163</v>
      </c>
      <c r="E140" s="67">
        <v>13</v>
      </c>
      <c r="F140" s="67" t="s">
        <v>155</v>
      </c>
      <c r="G140" s="67">
        <v>1</v>
      </c>
      <c r="H140" s="67" t="s">
        <v>154</v>
      </c>
      <c r="I140" s="60"/>
      <c r="J140" s="68" t="str">
        <f t="shared" si="0"/>
        <v>CM CF D Common Aminities</v>
      </c>
      <c r="K140" s="69" t="str">
        <f t="shared" si="1"/>
        <v xml:space="preserve">CM CF D13 Garden </v>
      </c>
      <c r="L140" s="70" t="str">
        <f t="shared" si="2"/>
        <v>CM CF D13-1 Garden Labour Work</v>
      </c>
      <c r="M140" s="71" t="str">
        <f t="shared" si="3"/>
        <v>CM PL D Common Aminities</v>
      </c>
      <c r="N140" s="72" t="str">
        <f t="shared" si="4"/>
        <v xml:space="preserve">CM PL D13 Garden </v>
      </c>
      <c r="O140" s="73" t="str">
        <f t="shared" si="5"/>
        <v>CM PL D13-1 Garden Labour Work</v>
      </c>
      <c r="P140" s="104"/>
    </row>
    <row r="141" spans="1:16" s="74" customFormat="1" x14ac:dyDescent="0.2">
      <c r="A141" s="57" t="s">
        <v>374</v>
      </c>
      <c r="B141" s="57" t="s">
        <v>374</v>
      </c>
      <c r="C141" s="67" t="s">
        <v>331</v>
      </c>
      <c r="D141" s="67" t="s">
        <v>163</v>
      </c>
      <c r="E141" s="67">
        <v>13</v>
      </c>
      <c r="F141" s="67" t="s">
        <v>155</v>
      </c>
      <c r="G141" s="67">
        <v>2</v>
      </c>
      <c r="H141" s="67" t="s">
        <v>153</v>
      </c>
      <c r="I141" s="60"/>
      <c r="J141" s="68" t="str">
        <f t="shared" si="0"/>
        <v>CM CF D Common Aminities</v>
      </c>
      <c r="K141" s="69" t="str">
        <f t="shared" si="1"/>
        <v xml:space="preserve">CM CF D13 Garden </v>
      </c>
      <c r="L141" s="70" t="str">
        <f t="shared" si="2"/>
        <v>CM CF D13-2 Garden Grass/ Plantation purchase</v>
      </c>
      <c r="M141" s="71" t="str">
        <f t="shared" si="3"/>
        <v>CM PL D Common Aminities</v>
      </c>
      <c r="N141" s="72" t="str">
        <f t="shared" si="4"/>
        <v xml:space="preserve">CM PL D13 Garden </v>
      </c>
      <c r="O141" s="73" t="str">
        <f t="shared" si="5"/>
        <v>CM PL D13-2 Garden Grass/ Plantation purchase</v>
      </c>
      <c r="P141" s="104"/>
    </row>
    <row r="142" spans="1:16" s="74" customFormat="1" x14ac:dyDescent="0.2">
      <c r="A142" s="57" t="s">
        <v>374</v>
      </c>
      <c r="B142" s="57" t="s">
        <v>374</v>
      </c>
      <c r="C142" s="67" t="s">
        <v>331</v>
      </c>
      <c r="D142" s="67" t="s">
        <v>163</v>
      </c>
      <c r="E142" s="67">
        <v>13</v>
      </c>
      <c r="F142" s="67" t="s">
        <v>155</v>
      </c>
      <c r="G142" s="67">
        <v>3</v>
      </c>
      <c r="H142" s="74" t="s">
        <v>394</v>
      </c>
      <c r="I142" s="60"/>
      <c r="J142" s="68" t="str">
        <f t="shared" si="0"/>
        <v>CM CF D Common Aminities</v>
      </c>
      <c r="K142" s="69" t="str">
        <f t="shared" si="1"/>
        <v xml:space="preserve">CM CF D13 Garden </v>
      </c>
      <c r="L142" s="70" t="str">
        <f t="shared" si="2"/>
        <v>CM CF D13-3 Articial Plants and Grass</v>
      </c>
      <c r="M142" s="71" t="str">
        <f t="shared" si="3"/>
        <v>CM PL D Common Aminities</v>
      </c>
      <c r="N142" s="72" t="str">
        <f t="shared" si="4"/>
        <v xml:space="preserve">CM PL D13 Garden </v>
      </c>
      <c r="O142" s="73" t="str">
        <f t="shared" si="5"/>
        <v>CM PL D13-3 Articial Plants and Grass</v>
      </c>
      <c r="P142" s="104"/>
    </row>
    <row r="143" spans="1:16" s="74" customFormat="1" x14ac:dyDescent="0.2">
      <c r="A143" s="57" t="s">
        <v>374</v>
      </c>
      <c r="B143" s="57" t="s">
        <v>374</v>
      </c>
      <c r="C143" s="67" t="s">
        <v>331</v>
      </c>
      <c r="D143" s="67" t="s">
        <v>163</v>
      </c>
      <c r="E143" s="67">
        <v>14</v>
      </c>
      <c r="F143" s="67" t="s">
        <v>152</v>
      </c>
      <c r="G143" s="67">
        <v>1</v>
      </c>
      <c r="H143" s="67" t="s">
        <v>151</v>
      </c>
      <c r="I143" s="60"/>
      <c r="J143" s="68" t="str">
        <f t="shared" si="0"/>
        <v>CM CF D Common Aminities</v>
      </c>
      <c r="K143" s="69" t="str">
        <f t="shared" si="1"/>
        <v>CM CF D14 Fabrication</v>
      </c>
      <c r="L143" s="70" t="str">
        <f t="shared" si="2"/>
        <v>CM CF D14-1 Fabrication Material</v>
      </c>
      <c r="M143" s="71" t="str">
        <f t="shared" si="3"/>
        <v>CM PL D Common Aminities</v>
      </c>
      <c r="N143" s="72" t="str">
        <f t="shared" si="4"/>
        <v>CM PL D14 Fabrication</v>
      </c>
      <c r="O143" s="73" t="str">
        <f t="shared" si="5"/>
        <v>CM PL D14-1 Fabrication Material</v>
      </c>
      <c r="P143" s="104"/>
    </row>
    <row r="144" spans="1:16" s="74" customFormat="1" x14ac:dyDescent="0.2">
      <c r="A144" s="57" t="s">
        <v>374</v>
      </c>
      <c r="B144" s="57" t="s">
        <v>374</v>
      </c>
      <c r="C144" s="67" t="s">
        <v>331</v>
      </c>
      <c r="D144" s="67" t="s">
        <v>163</v>
      </c>
      <c r="E144" s="67">
        <v>14</v>
      </c>
      <c r="F144" s="67" t="s">
        <v>152</v>
      </c>
      <c r="G144" s="67">
        <v>2</v>
      </c>
      <c r="H144" s="67" t="s">
        <v>150</v>
      </c>
      <c r="I144" s="60"/>
      <c r="J144" s="68" t="str">
        <f t="shared" si="0"/>
        <v>CM CF D Common Aminities</v>
      </c>
      <c r="K144" s="69" t="str">
        <f t="shared" si="1"/>
        <v>CM CF D14 Fabrication</v>
      </c>
      <c r="L144" s="70" t="str">
        <f t="shared" si="2"/>
        <v>CM CF D14-2 Fabrication Work</v>
      </c>
      <c r="M144" s="71" t="str">
        <f t="shared" si="3"/>
        <v>CM PL D Common Aminities</v>
      </c>
      <c r="N144" s="72" t="str">
        <f t="shared" si="4"/>
        <v>CM PL D14 Fabrication</v>
      </c>
      <c r="O144" s="73" t="str">
        <f t="shared" si="5"/>
        <v>CM PL D14-2 Fabrication Work</v>
      </c>
      <c r="P144" s="104"/>
    </row>
    <row r="145" spans="1:16" s="74" customFormat="1" x14ac:dyDescent="0.2">
      <c r="A145" s="57" t="s">
        <v>374</v>
      </c>
      <c r="B145" s="57" t="s">
        <v>374</v>
      </c>
      <c r="C145" s="67" t="s">
        <v>331</v>
      </c>
      <c r="D145" s="67" t="s">
        <v>163</v>
      </c>
      <c r="E145" s="67">
        <v>15</v>
      </c>
      <c r="F145" s="67" t="s">
        <v>433</v>
      </c>
      <c r="G145" s="67">
        <v>2</v>
      </c>
      <c r="H145" s="67" t="s">
        <v>435</v>
      </c>
      <c r="I145" s="60"/>
      <c r="J145" s="68" t="str">
        <f t="shared" si="0"/>
        <v>CM CF D Common Aminities</v>
      </c>
      <c r="K145" s="69" t="str">
        <f t="shared" si="1"/>
        <v>CM CF D15 Railing</v>
      </c>
      <c r="L145" s="70" t="str">
        <f t="shared" si="2"/>
        <v>CM CF D15-2 Railing Work</v>
      </c>
      <c r="M145" s="71" t="str">
        <f t="shared" si="3"/>
        <v>CM PL D Common Aminities</v>
      </c>
      <c r="N145" s="72" t="str">
        <f t="shared" ref="N145" si="7">IF(M145=0,0,IF(ISBLANK($F145)=FALSE,CONCATENATE(,$C$2," ",$M$2," ",$C145,$E145," ",$F145),0))</f>
        <v>CM PL D15 Railing</v>
      </c>
      <c r="O145" s="73" t="str">
        <f t="shared" ref="O145" si="8">IF(N145=0,0,IF(ISBLANK($F145)=FALSE,CONCATENATE(,$C$2," ",$M$2," ",$C145,$E145,,"-",$G145,," ",$H145),0))</f>
        <v>CM PL D15-2 Railing Work</v>
      </c>
      <c r="P145" s="104"/>
    </row>
    <row r="146" spans="1:16" s="74" customFormat="1" x14ac:dyDescent="0.2">
      <c r="A146" s="57" t="s">
        <v>374</v>
      </c>
      <c r="B146" s="57" t="s">
        <v>374</v>
      </c>
      <c r="C146" s="67" t="s">
        <v>331</v>
      </c>
      <c r="D146" s="67" t="s">
        <v>163</v>
      </c>
      <c r="E146" s="67">
        <v>15</v>
      </c>
      <c r="F146" s="67" t="s">
        <v>399</v>
      </c>
      <c r="G146" s="67">
        <v>1</v>
      </c>
      <c r="H146" s="67" t="s">
        <v>400</v>
      </c>
      <c r="I146" s="60"/>
      <c r="J146" s="68" t="str">
        <f t="shared" si="0"/>
        <v>CM CF D Common Aminities</v>
      </c>
      <c r="K146" s="69" t="str">
        <f t="shared" si="1"/>
        <v>CM CF D15 Transportation Chg</v>
      </c>
      <c r="L146" s="70" t="str">
        <f t="shared" si="2"/>
        <v>CM CF D15-1 Transportation Chg paid</v>
      </c>
      <c r="M146" s="71" t="str">
        <f t="shared" si="3"/>
        <v>CM PL D Common Aminities</v>
      </c>
      <c r="N146" s="72" t="str">
        <f t="shared" si="4"/>
        <v>CM PL D15 Transportation Chg</v>
      </c>
      <c r="O146" s="73" t="str">
        <f t="shared" si="5"/>
        <v>CM PL D15-1 Transportation Chg paid</v>
      </c>
      <c r="P146" s="104"/>
    </row>
    <row r="147" spans="1:16" s="74" customFormat="1" x14ac:dyDescent="0.2">
      <c r="A147" s="57" t="s">
        <v>374</v>
      </c>
      <c r="B147" s="57" t="s">
        <v>374</v>
      </c>
      <c r="C147" s="67" t="s">
        <v>331</v>
      </c>
      <c r="D147" s="67" t="s">
        <v>163</v>
      </c>
      <c r="E147" s="67">
        <v>15</v>
      </c>
      <c r="F147" s="67" t="s">
        <v>399</v>
      </c>
      <c r="G147" s="67">
        <v>2</v>
      </c>
      <c r="H147" s="67" t="s">
        <v>436</v>
      </c>
      <c r="I147" s="60"/>
      <c r="J147" s="68" t="str">
        <f t="shared" si="0"/>
        <v>CM CF D Common Aminities</v>
      </c>
      <c r="K147" s="69" t="str">
        <f t="shared" si="1"/>
        <v>CM CF D15 Transportation Chg</v>
      </c>
      <c r="L147" s="70" t="str">
        <f t="shared" si="2"/>
        <v>CM CF D15-2 Loading / Unloading Charges</v>
      </c>
      <c r="M147" s="71" t="str">
        <f t="shared" si="3"/>
        <v>CM PL D Common Aminities</v>
      </c>
      <c r="N147" s="72" t="str">
        <f t="shared" ref="N147" si="9">IF(M147=0,0,IF(ISBLANK($F147)=FALSE,CONCATENATE(,$C$2," ",$M$2," ",$C147,$E147," ",$F147),0))</f>
        <v>CM PL D15 Transportation Chg</v>
      </c>
      <c r="O147" s="73" t="str">
        <f t="shared" ref="O147" si="10">IF(N147=0,0,IF(ISBLANK($F147)=FALSE,CONCATENATE(,$C$2," ",$M$2," ",$C147,$E147,,"-",$G147,," ",$H147),0))</f>
        <v>CM PL D15-2 Loading / Unloading Charges</v>
      </c>
      <c r="P147" s="104"/>
    </row>
    <row r="148" spans="1:16" s="74" customFormat="1" x14ac:dyDescent="0.2">
      <c r="A148" s="57" t="s">
        <v>374</v>
      </c>
      <c r="B148" s="57" t="s">
        <v>374</v>
      </c>
      <c r="C148" s="67" t="s">
        <v>331</v>
      </c>
      <c r="D148" s="67" t="s">
        <v>163</v>
      </c>
      <c r="E148" s="67">
        <v>16</v>
      </c>
      <c r="F148" s="67" t="s">
        <v>401</v>
      </c>
      <c r="G148" s="67">
        <v>1</v>
      </c>
      <c r="H148" s="67" t="s">
        <v>252</v>
      </c>
      <c r="I148" s="60"/>
      <c r="J148" s="68" t="str">
        <f t="shared" si="0"/>
        <v>CM CF D Common Aminities</v>
      </c>
      <c r="K148" s="69" t="str">
        <f t="shared" si="1"/>
        <v>CM CF D16 Asset Purchase</v>
      </c>
      <c r="L148" s="70" t="str">
        <f t="shared" si="2"/>
        <v>CM CF D16-1 Heat Pump</v>
      </c>
      <c r="M148" s="71" t="str">
        <f t="shared" si="3"/>
        <v>CM PL D Common Aminities</v>
      </c>
      <c r="N148" s="72" t="str">
        <f t="shared" si="4"/>
        <v>CM PL D16 Asset Purchase</v>
      </c>
      <c r="O148" s="73" t="str">
        <f t="shared" si="5"/>
        <v>CM PL D16-1 Heat Pump</v>
      </c>
      <c r="P148" s="104"/>
    </row>
    <row r="149" spans="1:16" s="74" customFormat="1" x14ac:dyDescent="0.2">
      <c r="A149" s="57" t="s">
        <v>374</v>
      </c>
      <c r="B149" s="57" t="s">
        <v>374</v>
      </c>
      <c r="C149" s="67" t="s">
        <v>331</v>
      </c>
      <c r="D149" s="67" t="s">
        <v>163</v>
      </c>
      <c r="E149" s="67">
        <v>16</v>
      </c>
      <c r="F149" s="67" t="s">
        <v>401</v>
      </c>
      <c r="G149" s="67">
        <v>2</v>
      </c>
      <c r="H149" s="67" t="s">
        <v>403</v>
      </c>
      <c r="I149" s="60"/>
      <c r="J149" s="68" t="str">
        <f t="shared" si="0"/>
        <v>CM CF D Common Aminities</v>
      </c>
      <c r="K149" s="69" t="str">
        <f t="shared" si="1"/>
        <v>CM CF D16 Asset Purchase</v>
      </c>
      <c r="L149" s="70" t="str">
        <f t="shared" si="2"/>
        <v>CM CF D16-2 Inverter</v>
      </c>
      <c r="M149" s="71" t="str">
        <f t="shared" si="3"/>
        <v>CM PL D Common Aminities</v>
      </c>
      <c r="N149" s="72" t="str">
        <f t="shared" si="4"/>
        <v>CM PL D16 Asset Purchase</v>
      </c>
      <c r="O149" s="73" t="str">
        <f t="shared" si="5"/>
        <v>CM PL D16-2 Inverter</v>
      </c>
      <c r="P149" s="104"/>
    </row>
    <row r="150" spans="1:16" s="74" customFormat="1" x14ac:dyDescent="0.2">
      <c r="A150" s="57" t="s">
        <v>374</v>
      </c>
      <c r="B150" s="57" t="s">
        <v>374</v>
      </c>
      <c r="C150" s="67" t="s">
        <v>331</v>
      </c>
      <c r="D150" s="67" t="s">
        <v>163</v>
      </c>
      <c r="E150" s="67">
        <v>16</v>
      </c>
      <c r="F150" s="67" t="s">
        <v>401</v>
      </c>
      <c r="G150" s="67">
        <v>3</v>
      </c>
      <c r="H150" s="67" t="s">
        <v>405</v>
      </c>
      <c r="I150" s="60"/>
      <c r="J150" s="68" t="str">
        <f t="shared" si="0"/>
        <v>CM CF D Common Aminities</v>
      </c>
      <c r="K150" s="69" t="str">
        <f t="shared" si="1"/>
        <v>CM CF D16 Asset Purchase</v>
      </c>
      <c r="L150" s="70" t="str">
        <f t="shared" si="2"/>
        <v>CM CF D16-3 Tarpaulin Sheet</v>
      </c>
      <c r="M150" s="71" t="str">
        <f t="shared" si="3"/>
        <v>CM PL D Common Aminities</v>
      </c>
      <c r="N150" s="72" t="str">
        <f t="shared" si="4"/>
        <v>CM PL D16 Asset Purchase</v>
      </c>
      <c r="O150" s="73" t="str">
        <f t="shared" si="5"/>
        <v>CM PL D16-3 Tarpaulin Sheet</v>
      </c>
      <c r="P150" s="71"/>
    </row>
    <row r="151" spans="1:16" s="74" customFormat="1" x14ac:dyDescent="0.2">
      <c r="A151" s="57" t="s">
        <v>374</v>
      </c>
      <c r="B151" s="57" t="s">
        <v>374</v>
      </c>
      <c r="C151" s="67" t="s">
        <v>331</v>
      </c>
      <c r="D151" s="67" t="s">
        <v>163</v>
      </c>
      <c r="E151" s="67">
        <v>17</v>
      </c>
      <c r="F151" s="67" t="s">
        <v>406</v>
      </c>
      <c r="G151" s="67">
        <v>1</v>
      </c>
      <c r="H151" s="67" t="s">
        <v>407</v>
      </c>
      <c r="I151" s="60"/>
      <c r="J151" s="68" t="str">
        <f t="shared" si="0"/>
        <v>CM CF D Common Aminities</v>
      </c>
      <c r="K151" s="69" t="str">
        <f t="shared" si="1"/>
        <v>CM CF D17 Labour Charges</v>
      </c>
      <c r="L151" s="70" t="str">
        <f t="shared" si="2"/>
        <v>CM CF D17-1 Labour Chg paid</v>
      </c>
      <c r="M151" s="71" t="str">
        <f t="shared" si="3"/>
        <v>CM PL D Common Aminities</v>
      </c>
      <c r="N151" s="72" t="str">
        <f t="shared" si="4"/>
        <v>CM PL D17 Labour Charges</v>
      </c>
      <c r="O151" s="73" t="str">
        <f t="shared" si="5"/>
        <v>CM PL D17-1 Labour Chg paid</v>
      </c>
      <c r="P151" s="71"/>
    </row>
    <row r="152" spans="1:16" s="74" customFormat="1" x14ac:dyDescent="0.2">
      <c r="A152" s="57" t="s">
        <v>374</v>
      </c>
      <c r="B152" s="57" t="s">
        <v>374</v>
      </c>
      <c r="C152" s="67" t="s">
        <v>325</v>
      </c>
      <c r="D152" s="67" t="s">
        <v>222</v>
      </c>
      <c r="E152" s="67">
        <v>1</v>
      </c>
      <c r="F152" s="67" t="s">
        <v>221</v>
      </c>
      <c r="G152" s="67">
        <v>1</v>
      </c>
      <c r="H152" s="67" t="s">
        <v>220</v>
      </c>
      <c r="I152" s="60"/>
      <c r="J152" s="68" t="str">
        <f t="shared" si="0"/>
        <v>CM CF E G&amp;A Cost</v>
      </c>
      <c r="K152" s="69" t="str">
        <f t="shared" si="1"/>
        <v>CM CF E1 Salaries</v>
      </c>
      <c r="L152" s="70" t="str">
        <f t="shared" si="2"/>
        <v>CM CF E1-1 Employee Salaries</v>
      </c>
      <c r="M152" s="71" t="str">
        <f t="shared" si="3"/>
        <v>CM PL E G&amp;A Cost</v>
      </c>
      <c r="N152" s="72" t="str">
        <f t="shared" ref="N152" si="11">IF(M152=0,0,IF(ISBLANK($F152)=FALSE,CONCATENATE(,$C$2," ",$M$2," ",$C152,$E152," ",$F152),0))</f>
        <v>CM PL E1 Salaries</v>
      </c>
      <c r="O152" s="73" t="str">
        <f t="shared" ref="O152" si="12">IF(N152=0,0,IF(ISBLANK($F152)=FALSE,CONCATENATE(,$C$2," ",$M$2," ",$C152,$E152,,"-",$G152,," ",$H152),0))</f>
        <v>CM PL E1-1 Employee Salaries</v>
      </c>
      <c r="P152" s="104"/>
    </row>
    <row r="153" spans="1:16" s="74" customFormat="1" x14ac:dyDescent="0.2">
      <c r="A153" s="57" t="s">
        <v>374</v>
      </c>
      <c r="B153" s="57" t="s">
        <v>374</v>
      </c>
      <c r="C153" s="67" t="s">
        <v>325</v>
      </c>
      <c r="D153" s="67" t="s">
        <v>222</v>
      </c>
      <c r="E153" s="67">
        <v>1</v>
      </c>
      <c r="F153" s="67" t="s">
        <v>221</v>
      </c>
      <c r="G153" s="67">
        <v>2</v>
      </c>
      <c r="H153" s="67" t="s">
        <v>219</v>
      </c>
      <c r="I153" s="60"/>
      <c r="J153" s="68" t="str">
        <f t="shared" si="0"/>
        <v>CM CF E G&amp;A Cost</v>
      </c>
      <c r="K153" s="69" t="str">
        <f t="shared" si="1"/>
        <v>CM CF E1 Salaries</v>
      </c>
      <c r="L153" s="70" t="str">
        <f t="shared" si="2"/>
        <v>CM CF E1-2 Contractor Salaries- Security Guard</v>
      </c>
      <c r="M153" s="71" t="str">
        <f t="shared" si="3"/>
        <v>CM PL E G&amp;A Cost</v>
      </c>
      <c r="N153" s="72" t="str">
        <f t="shared" si="4"/>
        <v>CM PL E1 Salaries</v>
      </c>
      <c r="O153" s="73" t="str">
        <f t="shared" si="5"/>
        <v>CM PL E1-2 Contractor Salaries- Security Guard</v>
      </c>
      <c r="P153" s="104"/>
    </row>
    <row r="154" spans="1:16" s="74" customFormat="1" x14ac:dyDescent="0.2">
      <c r="A154" s="57" t="s">
        <v>374</v>
      </c>
      <c r="B154" s="57" t="s">
        <v>374</v>
      </c>
      <c r="C154" s="67" t="s">
        <v>325</v>
      </c>
      <c r="D154" s="67" t="s">
        <v>222</v>
      </c>
      <c r="E154" s="67">
        <v>1</v>
      </c>
      <c r="F154" s="67" t="s">
        <v>221</v>
      </c>
      <c r="G154" s="67">
        <v>3</v>
      </c>
      <c r="H154" s="67" t="s">
        <v>218</v>
      </c>
      <c r="I154" s="60" t="s">
        <v>213</v>
      </c>
      <c r="J154" s="68" t="str">
        <f t="shared" si="0"/>
        <v>CM CF E G&amp;A Cost</v>
      </c>
      <c r="K154" s="69" t="str">
        <f t="shared" si="1"/>
        <v>CM CF E1 Salaries</v>
      </c>
      <c r="L154" s="70" t="str">
        <f t="shared" si="2"/>
        <v>CM CF E1-3 Contractor Salaries- Housekeeping Staff</v>
      </c>
      <c r="M154" s="71" t="str">
        <f t="shared" si="3"/>
        <v>CM PL E G&amp;A Cost</v>
      </c>
      <c r="N154" s="72" t="str">
        <f t="shared" si="4"/>
        <v>CM PL E1 Salaries</v>
      </c>
      <c r="O154" s="73" t="str">
        <f t="shared" si="5"/>
        <v>CM PL E1-3 Contractor Salaries- Housekeeping Staff</v>
      </c>
      <c r="P154" s="104"/>
    </row>
    <row r="155" spans="1:16" s="74" customFormat="1" x14ac:dyDescent="0.2">
      <c r="A155" s="57" t="s">
        <v>374</v>
      </c>
      <c r="B155" s="57" t="s">
        <v>374</v>
      </c>
      <c r="C155" s="67" t="s">
        <v>325</v>
      </c>
      <c r="D155" s="67" t="s">
        <v>222</v>
      </c>
      <c r="E155" s="67">
        <v>1</v>
      </c>
      <c r="F155" s="67" t="s">
        <v>221</v>
      </c>
      <c r="G155" s="67">
        <v>4</v>
      </c>
      <c r="H155" s="67" t="s">
        <v>392</v>
      </c>
      <c r="I155" s="60" t="s">
        <v>391</v>
      </c>
      <c r="J155" s="68" t="str">
        <f t="shared" si="0"/>
        <v>CM CF E G&amp;A Cost</v>
      </c>
      <c r="K155" s="69" t="str">
        <f>IF($J155=0,0,IF(ISBLANK($F155)=FALSE,CONCATENATE(,$C$2," ",$J$2," ",$C155,$E155," ",$F155),0))</f>
        <v>CM CF E1 Salaries</v>
      </c>
      <c r="L155" s="70" t="str">
        <f>IF($K155=0,0,IF(ISBLANK($F155)=FALSE,CONCATENATE(,$C$2," ",$J$2," ",$C155,$E155,,"-",$G155,," ",$H155),0))</f>
        <v>CM CF E1-4 Remuneration Paid to Partner</v>
      </c>
      <c r="M155" s="71" t="str">
        <f t="shared" si="3"/>
        <v>CM PL E G&amp;A Cost</v>
      </c>
      <c r="N155" s="72" t="str">
        <f t="shared" si="4"/>
        <v>CM PL E1 Salaries</v>
      </c>
      <c r="O155" s="73" t="str">
        <f t="shared" si="5"/>
        <v>CM PL E1-4 Remuneration Paid to Partner</v>
      </c>
      <c r="P155" s="104"/>
    </row>
    <row r="156" spans="1:16" s="74" customFormat="1" x14ac:dyDescent="0.2">
      <c r="A156" s="57" t="s">
        <v>374</v>
      </c>
      <c r="B156" s="57" t="s">
        <v>374</v>
      </c>
      <c r="C156" s="67" t="s">
        <v>325</v>
      </c>
      <c r="D156" s="67" t="s">
        <v>222</v>
      </c>
      <c r="E156" s="67">
        <v>2</v>
      </c>
      <c r="F156" s="67" t="s">
        <v>216</v>
      </c>
      <c r="G156" s="67">
        <v>1</v>
      </c>
      <c r="H156" s="67" t="s">
        <v>215</v>
      </c>
      <c r="I156" s="60" t="s">
        <v>208</v>
      </c>
      <c r="J156" s="68" t="str">
        <f t="shared" si="0"/>
        <v>CM CF E G&amp;A Cost</v>
      </c>
      <c r="K156" s="69" t="str">
        <f t="shared" si="1"/>
        <v>CM CF E2 Rent</v>
      </c>
      <c r="L156" s="70" t="str">
        <f t="shared" si="2"/>
        <v>CM CF E2-1 Office Lease</v>
      </c>
      <c r="M156" s="71" t="str">
        <f t="shared" si="3"/>
        <v>CM PL E G&amp;A Cost</v>
      </c>
      <c r="N156" s="72" t="str">
        <f t="shared" si="4"/>
        <v>CM PL E2 Rent</v>
      </c>
      <c r="O156" s="73" t="str">
        <f t="shared" si="5"/>
        <v>CM PL E2-1 Office Lease</v>
      </c>
      <c r="P156" s="104"/>
    </row>
    <row r="157" spans="1:16" s="74" customFormat="1" x14ac:dyDescent="0.2">
      <c r="A157" s="57" t="s">
        <v>374</v>
      </c>
      <c r="B157" s="57" t="s">
        <v>374</v>
      </c>
      <c r="C157" s="67" t="s">
        <v>325</v>
      </c>
      <c r="D157" s="67" t="s">
        <v>222</v>
      </c>
      <c r="E157" s="67">
        <v>2</v>
      </c>
      <c r="F157" s="67" t="s">
        <v>216</v>
      </c>
      <c r="G157" s="67">
        <v>2</v>
      </c>
      <c r="H157" s="67" t="s">
        <v>214</v>
      </c>
      <c r="I157" s="60"/>
      <c r="J157" s="68" t="str">
        <f t="shared" si="0"/>
        <v>CM CF E G&amp;A Cost</v>
      </c>
      <c r="K157" s="69" t="str">
        <f t="shared" si="1"/>
        <v>CM CF E2 Rent</v>
      </c>
      <c r="L157" s="70" t="str">
        <f t="shared" si="2"/>
        <v>CM CF E2-2 Appartment rent</v>
      </c>
      <c r="M157" s="71" t="str">
        <f t="shared" si="3"/>
        <v>CM PL E G&amp;A Cost</v>
      </c>
      <c r="N157" s="72" t="str">
        <f t="shared" si="4"/>
        <v>CM PL E2 Rent</v>
      </c>
      <c r="O157" s="73" t="str">
        <f t="shared" si="5"/>
        <v>CM PL E2-2 Appartment rent</v>
      </c>
      <c r="P157" s="104"/>
    </row>
    <row r="158" spans="1:16" s="74" customFormat="1" x14ac:dyDescent="0.2">
      <c r="A158" s="57" t="s">
        <v>374</v>
      </c>
      <c r="B158" s="57" t="s">
        <v>374</v>
      </c>
      <c r="C158" s="67" t="s">
        <v>325</v>
      </c>
      <c r="D158" s="67" t="s">
        <v>222</v>
      </c>
      <c r="E158" s="67">
        <v>3</v>
      </c>
      <c r="F158" s="67" t="s">
        <v>212</v>
      </c>
      <c r="G158" s="67">
        <v>1</v>
      </c>
      <c r="H158" s="67" t="s">
        <v>211</v>
      </c>
      <c r="I158" s="60"/>
      <c r="J158" s="68" t="str">
        <f t="shared" si="0"/>
        <v>CM CF E G&amp;A Cost</v>
      </c>
      <c r="K158" s="69" t="str">
        <f t="shared" si="1"/>
        <v>CM CF E3 Petty</v>
      </c>
      <c r="L158" s="70" t="str">
        <f t="shared" si="2"/>
        <v>CM CF E3-1 Petty Cash</v>
      </c>
      <c r="M158" s="71" t="str">
        <f t="shared" si="3"/>
        <v>CM PL E G&amp;A Cost</v>
      </c>
      <c r="N158" s="72" t="str">
        <f t="shared" si="4"/>
        <v>CM PL E3 Petty</v>
      </c>
      <c r="O158" s="73" t="str">
        <f t="shared" si="5"/>
        <v>CM PL E3-1 Petty Cash</v>
      </c>
      <c r="P158" s="104"/>
    </row>
    <row r="159" spans="1:16" s="74" customFormat="1" x14ac:dyDescent="0.2">
      <c r="A159" s="57" t="s">
        <v>374</v>
      </c>
      <c r="B159" s="57" t="s">
        <v>374</v>
      </c>
      <c r="C159" s="67" t="s">
        <v>325</v>
      </c>
      <c r="D159" s="67" t="s">
        <v>222</v>
      </c>
      <c r="E159" s="67">
        <v>4</v>
      </c>
      <c r="F159" s="67" t="s">
        <v>210</v>
      </c>
      <c r="G159" s="67">
        <v>1</v>
      </c>
      <c r="H159" s="67" t="s">
        <v>209</v>
      </c>
      <c r="I159" s="60"/>
      <c r="J159" s="68" t="str">
        <f t="shared" si="0"/>
        <v>CM CF E G&amp;A Cost</v>
      </c>
      <c r="K159" s="69" t="str">
        <f t="shared" si="1"/>
        <v>CM CF E4 Office Bills</v>
      </c>
      <c r="L159" s="70" t="str">
        <f t="shared" si="2"/>
        <v>CM CF E4-1 Electricity Bill</v>
      </c>
      <c r="M159" s="71" t="str">
        <f t="shared" si="3"/>
        <v>CM PL E G&amp;A Cost</v>
      </c>
      <c r="N159" s="72" t="str">
        <f t="shared" si="4"/>
        <v>CM PL E4 Office Bills</v>
      </c>
      <c r="O159" s="73" t="str">
        <f t="shared" si="5"/>
        <v>CM PL E4-1 Electricity Bill</v>
      </c>
      <c r="P159" s="104"/>
    </row>
    <row r="160" spans="1:16" s="74" customFormat="1" x14ac:dyDescent="0.2">
      <c r="A160" s="57" t="s">
        <v>374</v>
      </c>
      <c r="B160" s="57" t="s">
        <v>374</v>
      </c>
      <c r="C160" s="67" t="s">
        <v>325</v>
      </c>
      <c r="D160" s="67" t="s">
        <v>222</v>
      </c>
      <c r="E160" s="67">
        <v>4</v>
      </c>
      <c r="F160" s="67" t="s">
        <v>210</v>
      </c>
      <c r="G160" s="67">
        <v>2</v>
      </c>
      <c r="H160" s="67" t="s">
        <v>207</v>
      </c>
      <c r="I160" s="60"/>
      <c r="J160" s="68" t="str">
        <f t="shared" si="0"/>
        <v>CM CF E G&amp;A Cost</v>
      </c>
      <c r="K160" s="69" t="str">
        <f t="shared" si="1"/>
        <v>CM CF E4 Office Bills</v>
      </c>
      <c r="L160" s="70" t="str">
        <f t="shared" si="2"/>
        <v>CM CF E4-2 Water Bill</v>
      </c>
      <c r="M160" s="71" t="str">
        <f t="shared" si="3"/>
        <v>CM PL E G&amp;A Cost</v>
      </c>
      <c r="N160" s="72" t="str">
        <f t="shared" si="4"/>
        <v>CM PL E4 Office Bills</v>
      </c>
      <c r="O160" s="73" t="str">
        <f t="shared" si="5"/>
        <v>CM PL E4-2 Water Bill</v>
      </c>
      <c r="P160" s="104"/>
    </row>
    <row r="161" spans="1:16" s="74" customFormat="1" x14ac:dyDescent="0.2">
      <c r="A161" s="57" t="s">
        <v>374</v>
      </c>
      <c r="B161" s="57" t="s">
        <v>374</v>
      </c>
      <c r="C161" s="67" t="s">
        <v>325</v>
      </c>
      <c r="D161" s="67" t="s">
        <v>222</v>
      </c>
      <c r="E161" s="67">
        <v>4</v>
      </c>
      <c r="F161" s="67" t="s">
        <v>210</v>
      </c>
      <c r="G161" s="67">
        <v>3</v>
      </c>
      <c r="H161" s="67" t="s">
        <v>206</v>
      </c>
      <c r="I161" s="60"/>
      <c r="J161" s="68" t="str">
        <f t="shared" si="0"/>
        <v>CM CF E G&amp;A Cost</v>
      </c>
      <c r="K161" s="69" t="str">
        <f t="shared" si="1"/>
        <v>CM CF E4 Office Bills</v>
      </c>
      <c r="L161" s="70" t="str">
        <f t="shared" si="2"/>
        <v>CM CF E4-3 Internet Bill</v>
      </c>
      <c r="M161" s="71" t="str">
        <f t="shared" si="3"/>
        <v>CM PL E G&amp;A Cost</v>
      </c>
      <c r="N161" s="72" t="str">
        <f t="shared" si="4"/>
        <v>CM PL E4 Office Bills</v>
      </c>
      <c r="O161" s="73" t="str">
        <f t="shared" si="5"/>
        <v>CM PL E4-3 Internet Bill</v>
      </c>
      <c r="P161" s="104"/>
    </row>
    <row r="162" spans="1:16" s="74" customFormat="1" x14ac:dyDescent="0.2">
      <c r="A162" s="57" t="s">
        <v>374</v>
      </c>
      <c r="B162" s="57" t="s">
        <v>374</v>
      </c>
      <c r="C162" s="67" t="s">
        <v>325</v>
      </c>
      <c r="D162" s="67" t="s">
        <v>222</v>
      </c>
      <c r="E162" s="67">
        <v>4</v>
      </c>
      <c r="F162" s="67" t="s">
        <v>210</v>
      </c>
      <c r="G162" s="67">
        <v>4</v>
      </c>
      <c r="H162" s="67" t="s">
        <v>205</v>
      </c>
      <c r="I162" s="60"/>
      <c r="J162" s="68" t="str">
        <f t="shared" si="0"/>
        <v>CM CF E G&amp;A Cost</v>
      </c>
      <c r="K162" s="69" t="str">
        <f t="shared" si="1"/>
        <v>CM CF E4 Office Bills</v>
      </c>
      <c r="L162" s="70" t="str">
        <f t="shared" si="2"/>
        <v>CM CF E4-4 Courier Chg/Postage and Telephone Charges</v>
      </c>
      <c r="M162" s="71" t="str">
        <f t="shared" si="3"/>
        <v>CM PL E G&amp;A Cost</v>
      </c>
      <c r="N162" s="72" t="str">
        <f t="shared" si="4"/>
        <v>CM PL E4 Office Bills</v>
      </c>
      <c r="O162" s="73" t="str">
        <f t="shared" si="5"/>
        <v>CM PL E4-4 Courier Chg/Postage and Telephone Charges</v>
      </c>
      <c r="P162" s="104"/>
    </row>
    <row r="163" spans="1:16" s="74" customFormat="1" x14ac:dyDescent="0.2">
      <c r="A163" s="57" t="s">
        <v>374</v>
      </c>
      <c r="B163" s="57" t="s">
        <v>374</v>
      </c>
      <c r="C163" s="67" t="s">
        <v>325</v>
      </c>
      <c r="D163" s="67" t="s">
        <v>222</v>
      </c>
      <c r="E163" s="67">
        <v>4</v>
      </c>
      <c r="F163" s="67" t="s">
        <v>210</v>
      </c>
      <c r="G163" s="67">
        <v>5</v>
      </c>
      <c r="H163" s="67" t="s">
        <v>395</v>
      </c>
      <c r="I163" s="60"/>
      <c r="J163" s="68" t="str">
        <f t="shared" si="0"/>
        <v>CM CF E G&amp;A Cost</v>
      </c>
      <c r="K163" s="69" t="str">
        <f t="shared" si="1"/>
        <v>CM CF E4 Office Bills</v>
      </c>
      <c r="L163" s="70" t="str">
        <f t="shared" si="2"/>
        <v>CM CF E4-5 Gmail monthly Payment</v>
      </c>
      <c r="M163" s="71" t="str">
        <f t="shared" si="3"/>
        <v>CM PL E G&amp;A Cost</v>
      </c>
      <c r="N163" s="72" t="str">
        <f t="shared" si="4"/>
        <v>CM PL E4 Office Bills</v>
      </c>
      <c r="O163" s="73" t="str">
        <f t="shared" si="5"/>
        <v>CM PL E4-5 Gmail monthly Payment</v>
      </c>
      <c r="P163" s="104"/>
    </row>
    <row r="164" spans="1:16" s="74" customFormat="1" x14ac:dyDescent="0.2">
      <c r="A164" s="57" t="s">
        <v>374</v>
      </c>
      <c r="B164" s="57" t="s">
        <v>374</v>
      </c>
      <c r="C164" s="67" t="s">
        <v>325</v>
      </c>
      <c r="D164" s="67" t="s">
        <v>222</v>
      </c>
      <c r="E164" s="67">
        <v>4</v>
      </c>
      <c r="F164" s="67" t="s">
        <v>210</v>
      </c>
      <c r="G164" s="67">
        <v>6</v>
      </c>
      <c r="H164" s="67" t="s">
        <v>396</v>
      </c>
      <c r="I164" s="60"/>
      <c r="J164" s="68" t="str">
        <f t="shared" si="0"/>
        <v>CM CF E G&amp;A Cost</v>
      </c>
      <c r="K164" s="69" t="str">
        <f t="shared" si="1"/>
        <v>CM CF E4 Office Bills</v>
      </c>
      <c r="L164" s="70" t="str">
        <f t="shared" si="2"/>
        <v>CM CF E4-6 Call Tracking services</v>
      </c>
      <c r="M164" s="71" t="str">
        <f t="shared" si="3"/>
        <v>CM PL E G&amp;A Cost</v>
      </c>
      <c r="N164" s="72" t="str">
        <f t="shared" si="4"/>
        <v>CM PL E4 Office Bills</v>
      </c>
      <c r="O164" s="73" t="str">
        <f t="shared" si="5"/>
        <v>CM PL E4-6 Call Tracking services</v>
      </c>
      <c r="P164" s="104"/>
    </row>
    <row r="165" spans="1:16" s="74" customFormat="1" x14ac:dyDescent="0.2">
      <c r="A165" s="57" t="s">
        <v>374</v>
      </c>
      <c r="B165" s="57" t="s">
        <v>374</v>
      </c>
      <c r="C165" s="67" t="s">
        <v>325</v>
      </c>
      <c r="D165" s="67" t="s">
        <v>222</v>
      </c>
      <c r="E165" s="67">
        <v>4</v>
      </c>
      <c r="F165" s="67" t="s">
        <v>210</v>
      </c>
      <c r="G165" s="67">
        <v>7</v>
      </c>
      <c r="H165" s="67" t="s">
        <v>440</v>
      </c>
      <c r="I165" s="60"/>
      <c r="J165" s="68" t="str">
        <f t="shared" si="0"/>
        <v>CM CF E G&amp;A Cost</v>
      </c>
      <c r="K165" s="69" t="str">
        <f t="shared" si="1"/>
        <v>CM CF E4 Office Bills</v>
      </c>
      <c r="L165" s="70" t="str">
        <f t="shared" si="2"/>
        <v>CM CF E4-7 Other Office Expenses</v>
      </c>
      <c r="M165" s="71" t="str">
        <f t="shared" si="3"/>
        <v>CM PL E G&amp;A Cost</v>
      </c>
      <c r="N165" s="72" t="str">
        <f t="shared" ref="N165" si="13">IF(M165=0,0,IF(ISBLANK($F165)=FALSE,CONCATENATE(,$C$2," ",$M$2," ",$C165,$E165," ",$F165),0))</f>
        <v>CM PL E4 Office Bills</v>
      </c>
      <c r="O165" s="73" t="str">
        <f t="shared" ref="O165" si="14">IF(N165=0,0,IF(ISBLANK($F165)=FALSE,CONCATENATE(,$C$2," ",$M$2," ",$C165,$E165,,"-",$G165,," ",$H165),0))</f>
        <v>CM PL E4-7 Other Office Expenses</v>
      </c>
      <c r="P165" s="104"/>
    </row>
    <row r="166" spans="1:16" s="74" customFormat="1" x14ac:dyDescent="0.2">
      <c r="A166" s="57" t="s">
        <v>374</v>
      </c>
      <c r="B166" s="57" t="s">
        <v>374</v>
      </c>
      <c r="C166" s="67" t="s">
        <v>325</v>
      </c>
      <c r="D166" s="67" t="s">
        <v>222</v>
      </c>
      <c r="E166" s="67">
        <v>5</v>
      </c>
      <c r="F166" s="67" t="s">
        <v>204</v>
      </c>
      <c r="G166" s="67">
        <v>1</v>
      </c>
      <c r="H166" s="67" t="s">
        <v>203</v>
      </c>
      <c r="I166" s="60"/>
      <c r="J166" s="68" t="str">
        <f t="shared" si="0"/>
        <v>CM CF E G&amp;A Cost</v>
      </c>
      <c r="K166" s="69" t="str">
        <f t="shared" si="1"/>
        <v>CM CF E5 Maintainance</v>
      </c>
      <c r="L166" s="70" t="str">
        <f t="shared" si="2"/>
        <v>CM CF E5-1 Cleaning Servises</v>
      </c>
      <c r="M166" s="71" t="str">
        <f t="shared" si="3"/>
        <v>CM PL E G&amp;A Cost</v>
      </c>
      <c r="N166" s="72" t="str">
        <f t="shared" si="4"/>
        <v>CM PL E5 Maintainance</v>
      </c>
      <c r="O166" s="73" t="str">
        <f t="shared" si="5"/>
        <v>CM PL E5-1 Cleaning Servises</v>
      </c>
      <c r="P166" s="104"/>
    </row>
    <row r="167" spans="1:16" s="74" customFormat="1" x14ac:dyDescent="0.2">
      <c r="A167" s="57" t="s">
        <v>374</v>
      </c>
      <c r="B167" s="57" t="s">
        <v>374</v>
      </c>
      <c r="C167" s="67" t="s">
        <v>325</v>
      </c>
      <c r="D167" s="67" t="s">
        <v>222</v>
      </c>
      <c r="E167" s="67">
        <v>5</v>
      </c>
      <c r="F167" s="67" t="s">
        <v>204</v>
      </c>
      <c r="G167" s="67">
        <v>2</v>
      </c>
      <c r="H167" s="67" t="s">
        <v>202</v>
      </c>
      <c r="I167" s="60"/>
      <c r="J167" s="68" t="str">
        <f t="shared" si="0"/>
        <v>CM CF E G&amp;A Cost</v>
      </c>
      <c r="K167" s="69" t="str">
        <f t="shared" si="1"/>
        <v>CM CF E5 Maintainance</v>
      </c>
      <c r="L167" s="70" t="str">
        <f t="shared" si="2"/>
        <v>CM CF E5-2 Repair and Maintenace Expenses</v>
      </c>
      <c r="M167" s="71" t="str">
        <f t="shared" si="3"/>
        <v>CM PL E G&amp;A Cost</v>
      </c>
      <c r="N167" s="72" t="str">
        <f t="shared" si="4"/>
        <v>CM PL E5 Maintainance</v>
      </c>
      <c r="O167" s="73" t="str">
        <f t="shared" si="5"/>
        <v>CM PL E5-2 Repair and Maintenace Expenses</v>
      </c>
      <c r="P167" s="104"/>
    </row>
    <row r="168" spans="1:16" s="74" customFormat="1" x14ac:dyDescent="0.2">
      <c r="A168" s="57" t="s">
        <v>374</v>
      </c>
      <c r="B168" s="57" t="s">
        <v>374</v>
      </c>
      <c r="C168" s="67" t="s">
        <v>325</v>
      </c>
      <c r="D168" s="67" t="s">
        <v>222</v>
      </c>
      <c r="E168" s="67">
        <v>6</v>
      </c>
      <c r="F168" s="67" t="s">
        <v>201</v>
      </c>
      <c r="G168" s="67">
        <v>1</v>
      </c>
      <c r="H168" s="67" t="s">
        <v>200</v>
      </c>
      <c r="I168" s="60"/>
      <c r="J168" s="68" t="str">
        <f t="shared" si="0"/>
        <v>CM CF E G&amp;A Cost</v>
      </c>
      <c r="K168" s="69" t="str">
        <f t="shared" si="1"/>
        <v>CM CF E6 Travel &amp; Stay</v>
      </c>
      <c r="L168" s="70" t="str">
        <f t="shared" si="2"/>
        <v>CM CF E6-1 Travelling Expenses</v>
      </c>
      <c r="M168" s="71" t="str">
        <f t="shared" si="3"/>
        <v>CM PL E G&amp;A Cost</v>
      </c>
      <c r="N168" s="72" t="str">
        <f t="shared" si="4"/>
        <v>CM PL E6 Travel &amp; Stay</v>
      </c>
      <c r="O168" s="73" t="str">
        <f t="shared" si="5"/>
        <v>CM PL E6-1 Travelling Expenses</v>
      </c>
      <c r="P168" s="104"/>
    </row>
    <row r="169" spans="1:16" s="74" customFormat="1" x14ac:dyDescent="0.2">
      <c r="A169" s="57" t="s">
        <v>374</v>
      </c>
      <c r="B169" s="57" t="s">
        <v>374</v>
      </c>
      <c r="C169" s="67" t="s">
        <v>325</v>
      </c>
      <c r="D169" s="67" t="s">
        <v>222</v>
      </c>
      <c r="E169" s="67">
        <v>6</v>
      </c>
      <c r="F169" s="67" t="s">
        <v>201</v>
      </c>
      <c r="G169" s="67">
        <v>2</v>
      </c>
      <c r="H169" s="67" t="s">
        <v>199</v>
      </c>
      <c r="I169" s="60"/>
      <c r="J169" s="68" t="str">
        <f t="shared" si="0"/>
        <v>CM CF E G&amp;A Cost</v>
      </c>
      <c r="K169" s="69" t="str">
        <f t="shared" si="1"/>
        <v>CM CF E6 Travel &amp; Stay</v>
      </c>
      <c r="L169" s="70" t="str">
        <f t="shared" si="2"/>
        <v>CM CF E6-2 Travell Cost / Car / Bike Rent</v>
      </c>
      <c r="M169" s="71" t="str">
        <f t="shared" si="3"/>
        <v>CM PL E G&amp;A Cost</v>
      </c>
      <c r="N169" s="72" t="str">
        <f t="shared" si="4"/>
        <v>CM PL E6 Travel &amp; Stay</v>
      </c>
      <c r="O169" s="73" t="str">
        <f t="shared" si="5"/>
        <v>CM PL E6-2 Travell Cost / Car / Bike Rent</v>
      </c>
      <c r="P169" s="104"/>
    </row>
    <row r="170" spans="1:16" s="74" customFormat="1" x14ac:dyDescent="0.2">
      <c r="A170" s="57" t="s">
        <v>374</v>
      </c>
      <c r="B170" s="57" t="s">
        <v>374</v>
      </c>
      <c r="C170" s="67" t="s">
        <v>325</v>
      </c>
      <c r="D170" s="67" t="s">
        <v>222</v>
      </c>
      <c r="E170" s="67">
        <v>6</v>
      </c>
      <c r="F170" s="67" t="s">
        <v>201</v>
      </c>
      <c r="G170" s="67">
        <v>3</v>
      </c>
      <c r="H170" s="67" t="s">
        <v>198</v>
      </c>
      <c r="I170" s="60"/>
      <c r="J170" s="68" t="str">
        <f t="shared" si="0"/>
        <v>CM CF E G&amp;A Cost</v>
      </c>
      <c r="K170" s="69" t="str">
        <f t="shared" si="1"/>
        <v>CM CF E6 Travel &amp; Stay</v>
      </c>
      <c r="L170" s="70" t="str">
        <f t="shared" si="2"/>
        <v>CM CF E6-3 Lodging and Bording Expenses</v>
      </c>
      <c r="M170" s="71" t="str">
        <f t="shared" si="3"/>
        <v>CM PL E G&amp;A Cost</v>
      </c>
      <c r="N170" s="72" t="str">
        <f t="shared" si="4"/>
        <v>CM PL E6 Travel &amp; Stay</v>
      </c>
      <c r="O170" s="73" t="str">
        <f t="shared" si="5"/>
        <v>CM PL E6-3 Lodging and Bording Expenses</v>
      </c>
      <c r="P170" s="104"/>
    </row>
    <row r="171" spans="1:16" s="74" customFormat="1" x14ac:dyDescent="0.2">
      <c r="A171" s="57" t="s">
        <v>374</v>
      </c>
      <c r="B171" s="57" t="s">
        <v>374</v>
      </c>
      <c r="C171" s="67" t="s">
        <v>325</v>
      </c>
      <c r="D171" s="67" t="s">
        <v>222</v>
      </c>
      <c r="E171" s="67">
        <v>7</v>
      </c>
      <c r="F171" s="67" t="s">
        <v>197</v>
      </c>
      <c r="G171" s="67">
        <v>1</v>
      </c>
      <c r="H171" s="67" t="s">
        <v>196</v>
      </c>
      <c r="I171" s="60"/>
      <c r="J171" s="68" t="str">
        <f t="shared" si="0"/>
        <v>CM CF E G&amp;A Cost</v>
      </c>
      <c r="K171" s="69" t="str">
        <f t="shared" si="1"/>
        <v>CM CF E7 Food</v>
      </c>
      <c r="L171" s="70" t="str">
        <f t="shared" si="2"/>
        <v>CM CF E7-1 Breakfast/Lunch Expenses</v>
      </c>
      <c r="M171" s="71" t="str">
        <f t="shared" si="3"/>
        <v>CM PL E G&amp;A Cost</v>
      </c>
      <c r="N171" s="72" t="str">
        <f t="shared" si="4"/>
        <v>CM PL E7 Food</v>
      </c>
      <c r="O171" s="73" t="str">
        <f t="shared" si="5"/>
        <v>CM PL E7-1 Breakfast/Lunch Expenses</v>
      </c>
      <c r="P171" s="104"/>
    </row>
    <row r="172" spans="1:16" s="74" customFormat="1" x14ac:dyDescent="0.2">
      <c r="A172" s="57" t="s">
        <v>374</v>
      </c>
      <c r="B172" s="57" t="s">
        <v>374</v>
      </c>
      <c r="C172" s="67" t="s">
        <v>325</v>
      </c>
      <c r="D172" s="67" t="s">
        <v>222</v>
      </c>
      <c r="E172" s="67">
        <v>7</v>
      </c>
      <c r="F172" s="67" t="s">
        <v>197</v>
      </c>
      <c r="G172" s="67">
        <v>2</v>
      </c>
      <c r="H172" s="67" t="s">
        <v>195</v>
      </c>
      <c r="I172" s="60"/>
      <c r="J172" s="68" t="str">
        <f t="shared" si="0"/>
        <v>CM CF E G&amp;A Cost</v>
      </c>
      <c r="K172" s="69" t="str">
        <f t="shared" si="1"/>
        <v>CM CF E7 Food</v>
      </c>
      <c r="L172" s="70" t="str">
        <f t="shared" si="2"/>
        <v>CM CF E7-2 Grocery</v>
      </c>
      <c r="M172" s="71" t="str">
        <f t="shared" si="3"/>
        <v>CM PL E G&amp;A Cost</v>
      </c>
      <c r="N172" s="72" t="str">
        <f t="shared" si="4"/>
        <v>CM PL E7 Food</v>
      </c>
      <c r="O172" s="73" t="str">
        <f t="shared" si="5"/>
        <v>CM PL E7-2 Grocery</v>
      </c>
      <c r="P172" s="104"/>
    </row>
    <row r="173" spans="1:16" s="74" customFormat="1" x14ac:dyDescent="0.2">
      <c r="A173" s="57" t="s">
        <v>374</v>
      </c>
      <c r="B173" s="57" t="s">
        <v>374</v>
      </c>
      <c r="C173" s="67" t="s">
        <v>325</v>
      </c>
      <c r="D173" s="67" t="s">
        <v>222</v>
      </c>
      <c r="E173" s="67">
        <v>7</v>
      </c>
      <c r="F173" s="67" t="s">
        <v>197</v>
      </c>
      <c r="G173" s="67">
        <v>3</v>
      </c>
      <c r="H173" s="67" t="s">
        <v>194</v>
      </c>
      <c r="I173" s="60"/>
      <c r="J173" s="68" t="str">
        <f t="shared" si="0"/>
        <v>CM CF E G&amp;A Cost</v>
      </c>
      <c r="K173" s="69" t="str">
        <f t="shared" si="1"/>
        <v>CM CF E7 Food</v>
      </c>
      <c r="L173" s="70" t="str">
        <f t="shared" si="2"/>
        <v>CM CF E7-3 Milk Bill</v>
      </c>
      <c r="M173" s="71" t="str">
        <f t="shared" si="3"/>
        <v>CM PL E G&amp;A Cost</v>
      </c>
      <c r="N173" s="72" t="str">
        <f t="shared" si="4"/>
        <v>CM PL E7 Food</v>
      </c>
      <c r="O173" s="73" t="str">
        <f t="shared" si="5"/>
        <v>CM PL E7-3 Milk Bill</v>
      </c>
      <c r="P173" s="104"/>
    </row>
    <row r="174" spans="1:16" s="74" customFormat="1" x14ac:dyDescent="0.2">
      <c r="A174" s="57" t="s">
        <v>374</v>
      </c>
      <c r="B174" s="57" t="s">
        <v>374</v>
      </c>
      <c r="C174" s="67" t="s">
        <v>325</v>
      </c>
      <c r="D174" s="67" t="s">
        <v>222</v>
      </c>
      <c r="E174" s="67">
        <v>7</v>
      </c>
      <c r="F174" s="67" t="s">
        <v>197</v>
      </c>
      <c r="G174" s="67">
        <v>4</v>
      </c>
      <c r="H174" s="67" t="s">
        <v>193</v>
      </c>
      <c r="I174" s="60"/>
      <c r="J174" s="68" t="str">
        <f t="shared" si="0"/>
        <v>CM CF E G&amp;A Cost</v>
      </c>
      <c r="K174" s="69" t="str">
        <f t="shared" si="1"/>
        <v>CM CF E7 Food</v>
      </c>
      <c r="L174" s="70" t="str">
        <f t="shared" si="2"/>
        <v>CM CF E7-4 Gas Exp</v>
      </c>
      <c r="M174" s="71" t="str">
        <f t="shared" si="3"/>
        <v>CM PL E G&amp;A Cost</v>
      </c>
      <c r="N174" s="72" t="str">
        <f t="shared" si="4"/>
        <v>CM PL E7 Food</v>
      </c>
      <c r="O174" s="73" t="str">
        <f t="shared" si="5"/>
        <v>CM PL E7-4 Gas Exp</v>
      </c>
      <c r="P174" s="104"/>
    </row>
    <row r="175" spans="1:16" s="74" customFormat="1" x14ac:dyDescent="0.2">
      <c r="A175" s="57" t="s">
        <v>374</v>
      </c>
      <c r="B175" s="57" t="s">
        <v>374</v>
      </c>
      <c r="C175" s="67" t="s">
        <v>325</v>
      </c>
      <c r="D175" s="67" t="s">
        <v>222</v>
      </c>
      <c r="E175" s="67">
        <v>7</v>
      </c>
      <c r="F175" s="67" t="s">
        <v>197</v>
      </c>
      <c r="G175" s="67">
        <v>5</v>
      </c>
      <c r="H175" s="67" t="s">
        <v>192</v>
      </c>
      <c r="I175" s="60"/>
      <c r="J175" s="68" t="str">
        <f t="shared" si="0"/>
        <v>CM CF E G&amp;A Cost</v>
      </c>
      <c r="K175" s="69" t="str">
        <f t="shared" si="1"/>
        <v>CM CF E7 Food</v>
      </c>
      <c r="L175" s="70" t="str">
        <f t="shared" si="2"/>
        <v>CM CF E7-5 Tea and Refreshment Exp</v>
      </c>
      <c r="M175" s="71" t="str">
        <f t="shared" si="3"/>
        <v>CM PL E G&amp;A Cost</v>
      </c>
      <c r="N175" s="72" t="str">
        <f t="shared" si="4"/>
        <v>CM PL E7 Food</v>
      </c>
      <c r="O175" s="73" t="str">
        <f t="shared" si="5"/>
        <v>CM PL E7-5 Tea and Refreshment Exp</v>
      </c>
      <c r="P175" s="104"/>
    </row>
    <row r="176" spans="1:16" s="74" customFormat="1" x14ac:dyDescent="0.2">
      <c r="A176" s="57" t="s">
        <v>374</v>
      </c>
      <c r="B176" s="57" t="s">
        <v>374</v>
      </c>
      <c r="C176" s="67" t="s">
        <v>325</v>
      </c>
      <c r="D176" s="67" t="s">
        <v>222</v>
      </c>
      <c r="E176" s="67">
        <v>7</v>
      </c>
      <c r="F176" s="67" t="s">
        <v>197</v>
      </c>
      <c r="G176" s="67">
        <v>6</v>
      </c>
      <c r="H176" s="67" t="s">
        <v>191</v>
      </c>
      <c r="I176" s="60"/>
      <c r="J176" s="68" t="str">
        <f t="shared" si="0"/>
        <v>CM CF E G&amp;A Cost</v>
      </c>
      <c r="K176" s="69" t="str">
        <f t="shared" si="1"/>
        <v>CM CF E7 Food</v>
      </c>
      <c r="L176" s="70" t="str">
        <f t="shared" si="2"/>
        <v>CM CF E7-6 Pantry Material</v>
      </c>
      <c r="M176" s="71" t="str">
        <f t="shared" si="3"/>
        <v>CM PL E G&amp;A Cost</v>
      </c>
      <c r="N176" s="72" t="str">
        <f t="shared" si="4"/>
        <v>CM PL E7 Food</v>
      </c>
      <c r="O176" s="73" t="str">
        <f t="shared" si="5"/>
        <v>CM PL E7-6 Pantry Material</v>
      </c>
      <c r="P176" s="104"/>
    </row>
    <row r="177" spans="1:16" s="74" customFormat="1" x14ac:dyDescent="0.2">
      <c r="A177" s="57" t="s">
        <v>374</v>
      </c>
      <c r="B177" s="57" t="s">
        <v>374</v>
      </c>
      <c r="C177" s="67" t="s">
        <v>325</v>
      </c>
      <c r="D177" s="67" t="s">
        <v>222</v>
      </c>
      <c r="E177" s="67">
        <v>8</v>
      </c>
      <c r="F177" s="67" t="s">
        <v>190</v>
      </c>
      <c r="G177" s="67">
        <v>1</v>
      </c>
      <c r="H177" s="67" t="s">
        <v>189</v>
      </c>
      <c r="I177" s="60"/>
      <c r="J177" s="68" t="str">
        <f t="shared" si="0"/>
        <v>CM CF E G&amp;A Cost</v>
      </c>
      <c r="K177" s="69" t="str">
        <f t="shared" si="1"/>
        <v>CM CF E8 Staff Uniform</v>
      </c>
      <c r="L177" s="70" t="str">
        <f t="shared" si="2"/>
        <v>CM CF E8-1 Uniform</v>
      </c>
      <c r="M177" s="71" t="str">
        <f t="shared" si="3"/>
        <v>CM PL E G&amp;A Cost</v>
      </c>
      <c r="N177" s="72" t="str">
        <f t="shared" si="4"/>
        <v>CM PL E8 Staff Uniform</v>
      </c>
      <c r="O177" s="73" t="str">
        <f t="shared" si="5"/>
        <v>CM PL E8-1 Uniform</v>
      </c>
      <c r="P177" s="104"/>
    </row>
    <row r="178" spans="1:16" s="74" customFormat="1" x14ac:dyDescent="0.2">
      <c r="A178" s="57" t="s">
        <v>374</v>
      </c>
      <c r="B178" s="57" t="s">
        <v>374</v>
      </c>
      <c r="C178" s="67" t="s">
        <v>325</v>
      </c>
      <c r="D178" s="67" t="s">
        <v>222</v>
      </c>
      <c r="E178" s="67">
        <v>9</v>
      </c>
      <c r="F178" s="67" t="s">
        <v>188</v>
      </c>
      <c r="G178" s="67">
        <v>1</v>
      </c>
      <c r="H178" s="67" t="s">
        <v>187</v>
      </c>
      <c r="I178" s="60"/>
      <c r="J178" s="68" t="str">
        <f t="shared" si="0"/>
        <v>CM CF E G&amp;A Cost</v>
      </c>
      <c r="K178" s="69" t="str">
        <f t="shared" si="1"/>
        <v>CM CF E9 Local Tax/ Fees Paid</v>
      </c>
      <c r="L178" s="70" t="str">
        <f t="shared" si="2"/>
        <v>CM CF E9-1 Property Tax</v>
      </c>
      <c r="M178" s="71" t="str">
        <f t="shared" si="3"/>
        <v>CM PL E G&amp;A Cost</v>
      </c>
      <c r="N178" s="72" t="str">
        <f t="shared" si="4"/>
        <v>CM PL E9 Local Tax/ Fees Paid</v>
      </c>
      <c r="O178" s="73" t="str">
        <f t="shared" si="5"/>
        <v>CM PL E9-1 Property Tax</v>
      </c>
      <c r="P178" s="104"/>
    </row>
    <row r="179" spans="1:16" s="74" customFormat="1" x14ac:dyDescent="0.2">
      <c r="A179" s="57" t="s">
        <v>374</v>
      </c>
      <c r="B179" s="57" t="s">
        <v>374</v>
      </c>
      <c r="C179" s="67" t="s">
        <v>325</v>
      </c>
      <c r="D179" s="67" t="s">
        <v>222</v>
      </c>
      <c r="E179" s="67">
        <v>9</v>
      </c>
      <c r="F179" s="67" t="s">
        <v>188</v>
      </c>
      <c r="G179" s="67">
        <v>2</v>
      </c>
      <c r="H179" s="67" t="s">
        <v>186</v>
      </c>
      <c r="I179" s="60"/>
      <c r="J179" s="68" t="str">
        <f t="shared" si="0"/>
        <v>CM CF E G&amp;A Cost</v>
      </c>
      <c r="K179" s="69" t="str">
        <f t="shared" si="1"/>
        <v>CM CF E9 Local Tax/ Fees Paid</v>
      </c>
      <c r="L179" s="70" t="str">
        <f t="shared" si="2"/>
        <v xml:space="preserve">CM CF E9-2 Rera Fees </v>
      </c>
      <c r="M179" s="71" t="str">
        <f t="shared" si="3"/>
        <v>CM PL E G&amp;A Cost</v>
      </c>
      <c r="N179" s="72" t="str">
        <f t="shared" si="4"/>
        <v>CM PL E9 Local Tax/ Fees Paid</v>
      </c>
      <c r="O179" s="73" t="str">
        <f t="shared" si="5"/>
        <v xml:space="preserve">CM PL E9-2 Rera Fees </v>
      </c>
      <c r="P179" s="104"/>
    </row>
    <row r="180" spans="1:16" s="74" customFormat="1" x14ac:dyDescent="0.2">
      <c r="A180" s="57" t="s">
        <v>374</v>
      </c>
      <c r="B180" s="57" t="s">
        <v>374</v>
      </c>
      <c r="C180" s="67" t="s">
        <v>325</v>
      </c>
      <c r="D180" s="67" t="s">
        <v>222</v>
      </c>
      <c r="E180" s="67">
        <v>10</v>
      </c>
      <c r="F180" s="67" t="s">
        <v>185</v>
      </c>
      <c r="G180" s="67">
        <v>1</v>
      </c>
      <c r="H180" s="67" t="s">
        <v>184</v>
      </c>
      <c r="I180" s="60"/>
      <c r="J180" s="68" t="str">
        <f t="shared" si="0"/>
        <v>CM CF E G&amp;A Cost</v>
      </c>
      <c r="K180" s="69" t="str">
        <f t="shared" si="1"/>
        <v>CM CF E10 Misc Exp</v>
      </c>
      <c r="L180" s="70" t="str">
        <f t="shared" si="2"/>
        <v>CM CF E10-1 Bank Charges</v>
      </c>
      <c r="M180" s="71" t="str">
        <f t="shared" si="3"/>
        <v>CM PL E G&amp;A Cost</v>
      </c>
      <c r="N180" s="72" t="str">
        <f t="shared" si="4"/>
        <v>CM PL E10 Misc Exp</v>
      </c>
      <c r="O180" s="73" t="str">
        <f t="shared" si="5"/>
        <v>CM PL E10-1 Bank Charges</v>
      </c>
      <c r="P180" s="104"/>
    </row>
    <row r="181" spans="1:16" s="74" customFormat="1" x14ac:dyDescent="0.2">
      <c r="A181" s="57" t="s">
        <v>374</v>
      </c>
      <c r="B181" s="57" t="s">
        <v>374</v>
      </c>
      <c r="C181" s="67" t="s">
        <v>325</v>
      </c>
      <c r="D181" s="67" t="s">
        <v>222</v>
      </c>
      <c r="E181" s="67">
        <v>10</v>
      </c>
      <c r="F181" s="67" t="s">
        <v>185</v>
      </c>
      <c r="G181" s="67">
        <v>2</v>
      </c>
      <c r="H181" s="67" t="s">
        <v>183</v>
      </c>
      <c r="I181" s="60"/>
      <c r="J181" s="68" t="str">
        <f t="shared" si="0"/>
        <v>CM CF E G&amp;A Cost</v>
      </c>
      <c r="K181" s="69" t="str">
        <f t="shared" si="1"/>
        <v>CM CF E10 Misc Exp</v>
      </c>
      <c r="L181" s="70" t="str">
        <f t="shared" si="2"/>
        <v>CM CF E10-2 Rounding off</v>
      </c>
      <c r="M181" s="71" t="str">
        <f t="shared" si="3"/>
        <v>CM PL E G&amp;A Cost</v>
      </c>
      <c r="N181" s="72" t="str">
        <f t="shared" si="4"/>
        <v>CM PL E10 Misc Exp</v>
      </c>
      <c r="O181" s="73" t="str">
        <f t="shared" si="5"/>
        <v>CM PL E10-2 Rounding off</v>
      </c>
      <c r="P181" s="104"/>
    </row>
    <row r="182" spans="1:16" s="74" customFormat="1" x14ac:dyDescent="0.2">
      <c r="A182" s="57" t="s">
        <v>374</v>
      </c>
      <c r="B182" s="57" t="s">
        <v>374</v>
      </c>
      <c r="C182" s="67" t="s">
        <v>325</v>
      </c>
      <c r="D182" s="67" t="s">
        <v>222</v>
      </c>
      <c r="E182" s="67">
        <v>10</v>
      </c>
      <c r="F182" s="67" t="s">
        <v>185</v>
      </c>
      <c r="G182" s="67">
        <v>3</v>
      </c>
      <c r="H182" s="67" t="s">
        <v>182</v>
      </c>
      <c r="I182" s="60"/>
      <c r="J182" s="68" t="str">
        <f t="shared" si="0"/>
        <v>CM CF E G&amp;A Cost</v>
      </c>
      <c r="K182" s="69" t="str">
        <f t="shared" si="1"/>
        <v>CM CF E10 Misc Exp</v>
      </c>
      <c r="L182" s="70" t="str">
        <f t="shared" si="2"/>
        <v>CM CF E10-3 Other Misc. Expenses</v>
      </c>
      <c r="M182" s="71" t="str">
        <f t="shared" si="3"/>
        <v>CM PL E G&amp;A Cost</v>
      </c>
      <c r="N182" s="72" t="str">
        <f t="shared" si="4"/>
        <v>CM PL E10 Misc Exp</v>
      </c>
      <c r="O182" s="73" t="str">
        <f t="shared" si="5"/>
        <v>CM PL E10-3 Other Misc. Expenses</v>
      </c>
      <c r="P182" s="104"/>
    </row>
    <row r="183" spans="1:16" s="74" customFormat="1" x14ac:dyDescent="0.2">
      <c r="A183" s="57" t="s">
        <v>374</v>
      </c>
      <c r="B183" s="57" t="s">
        <v>374</v>
      </c>
      <c r="C183" s="67" t="s">
        <v>325</v>
      </c>
      <c r="D183" s="67" t="s">
        <v>222</v>
      </c>
      <c r="E183" s="67">
        <v>10</v>
      </c>
      <c r="F183" s="67" t="s">
        <v>185</v>
      </c>
      <c r="G183" s="67">
        <v>4</v>
      </c>
      <c r="H183" s="67" t="s">
        <v>181</v>
      </c>
      <c r="I183" s="60"/>
      <c r="J183" s="68" t="str">
        <f t="shared" si="0"/>
        <v>CM CF E G&amp;A Cost</v>
      </c>
      <c r="K183" s="69" t="str">
        <f t="shared" si="1"/>
        <v>CM CF E10 Misc Exp</v>
      </c>
      <c r="L183" s="70" t="str">
        <f t="shared" si="2"/>
        <v>CM CF E10-4 Printing and Stationery Exp</v>
      </c>
      <c r="M183" s="71" t="str">
        <f t="shared" si="3"/>
        <v>CM PL E G&amp;A Cost</v>
      </c>
      <c r="N183" s="72" t="str">
        <f t="shared" si="4"/>
        <v>CM PL E10 Misc Exp</v>
      </c>
      <c r="O183" s="73" t="str">
        <f t="shared" si="5"/>
        <v>CM PL E10-4 Printing and Stationery Exp</v>
      </c>
      <c r="P183" s="104"/>
    </row>
    <row r="184" spans="1:16" s="74" customFormat="1" x14ac:dyDescent="0.2">
      <c r="A184" s="57" t="s">
        <v>374</v>
      </c>
      <c r="B184" s="57" t="s">
        <v>374</v>
      </c>
      <c r="C184" s="67" t="s">
        <v>325</v>
      </c>
      <c r="D184" s="67" t="s">
        <v>222</v>
      </c>
      <c r="E184" s="67">
        <v>10</v>
      </c>
      <c r="F184" s="67" t="s">
        <v>185</v>
      </c>
      <c r="G184" s="67">
        <v>5</v>
      </c>
      <c r="H184" s="67" t="s">
        <v>431</v>
      </c>
      <c r="I184" s="60"/>
      <c r="J184" s="68" t="str">
        <f t="shared" si="0"/>
        <v>CM CF E G&amp;A Cost</v>
      </c>
      <c r="K184" s="69" t="str">
        <f t="shared" si="1"/>
        <v>CM CF E10 Misc Exp</v>
      </c>
      <c r="L184" s="70" t="str">
        <f t="shared" si="2"/>
        <v>CM CF E10-5 Sign Board</v>
      </c>
      <c r="M184" s="71" t="str">
        <f t="shared" si="3"/>
        <v>CM PL E G&amp;A Cost</v>
      </c>
      <c r="N184" s="72" t="str">
        <f t="shared" ref="N184" si="15">IF(M184=0,0,IF(ISBLANK($F184)=FALSE,CONCATENATE(,$C$2," ",$M$2," ",$C184,$E184," ",$F184),0))</f>
        <v>CM PL E10 Misc Exp</v>
      </c>
      <c r="O184" s="73" t="str">
        <f t="shared" ref="O184" si="16">IF(N184=0,0,IF(ISBLANK($F184)=FALSE,CONCATENATE(,$C$2," ",$M$2," ",$C184,$E184,,"-",$G184,," ",$H184),0))</f>
        <v>CM PL E10-5 Sign Board</v>
      </c>
      <c r="P184" s="104"/>
    </row>
    <row r="185" spans="1:16" s="74" customFormat="1" x14ac:dyDescent="0.2">
      <c r="A185" s="57" t="s">
        <v>374</v>
      </c>
      <c r="B185" s="57" t="s">
        <v>374</v>
      </c>
      <c r="C185" s="67" t="s">
        <v>325</v>
      </c>
      <c r="D185" s="67" t="s">
        <v>222</v>
      </c>
      <c r="E185" s="67">
        <v>11</v>
      </c>
      <c r="F185" s="67" t="s">
        <v>180</v>
      </c>
      <c r="G185" s="67">
        <v>1</v>
      </c>
      <c r="H185" s="67" t="s">
        <v>179</v>
      </c>
      <c r="I185" s="60"/>
      <c r="J185" s="68" t="str">
        <f t="shared" si="0"/>
        <v>CM CF E G&amp;A Cost</v>
      </c>
      <c r="K185" s="69" t="str">
        <f t="shared" si="1"/>
        <v xml:space="preserve">CM CF E11 Insurance </v>
      </c>
      <c r="L185" s="70" t="str">
        <f t="shared" si="2"/>
        <v>CM CF E11-1 Insurance Expenses</v>
      </c>
      <c r="M185" s="71" t="str">
        <f t="shared" si="3"/>
        <v>CM PL E G&amp;A Cost</v>
      </c>
      <c r="N185" s="72" t="str">
        <f t="shared" si="4"/>
        <v xml:space="preserve">CM PL E11 Insurance </v>
      </c>
      <c r="O185" s="73" t="str">
        <f t="shared" si="5"/>
        <v>CM PL E11-1 Insurance Expenses</v>
      </c>
      <c r="P185" s="104"/>
    </row>
    <row r="186" spans="1:16" s="74" customFormat="1" x14ac:dyDescent="0.2">
      <c r="A186" s="57" t="s">
        <v>374</v>
      </c>
      <c r="B186" s="57" t="s">
        <v>374</v>
      </c>
      <c r="C186" s="67" t="s">
        <v>325</v>
      </c>
      <c r="D186" s="67" t="s">
        <v>222</v>
      </c>
      <c r="E186" s="67">
        <v>12</v>
      </c>
      <c r="F186" s="67" t="s">
        <v>178</v>
      </c>
      <c r="G186" s="67">
        <v>1</v>
      </c>
      <c r="H186" s="67" t="s">
        <v>177</v>
      </c>
      <c r="I186" s="60"/>
      <c r="J186" s="68" t="str">
        <f t="shared" si="0"/>
        <v>CM CF E G&amp;A Cost</v>
      </c>
      <c r="K186" s="69" t="str">
        <f t="shared" si="1"/>
        <v xml:space="preserve">CM CF E12 Annual fess </v>
      </c>
      <c r="L186" s="70" t="str">
        <f t="shared" si="2"/>
        <v>CM CF E12-1 Credai</v>
      </c>
      <c r="M186" s="71" t="str">
        <f t="shared" si="3"/>
        <v>CM PL E G&amp;A Cost</v>
      </c>
      <c r="N186" s="72" t="str">
        <f t="shared" si="4"/>
        <v xml:space="preserve">CM PL E12 Annual fess </v>
      </c>
      <c r="O186" s="73" t="str">
        <f t="shared" si="5"/>
        <v>CM PL E12-1 Credai</v>
      </c>
      <c r="P186" s="104"/>
    </row>
    <row r="187" spans="1:16" s="74" customFormat="1" x14ac:dyDescent="0.2">
      <c r="A187" s="57" t="s">
        <v>374</v>
      </c>
      <c r="B187" s="57" t="s">
        <v>374</v>
      </c>
      <c r="C187" s="67" t="s">
        <v>325</v>
      </c>
      <c r="D187" s="67" t="s">
        <v>222</v>
      </c>
      <c r="E187" s="67">
        <v>12</v>
      </c>
      <c r="F187" s="67" t="s">
        <v>178</v>
      </c>
      <c r="G187" s="67">
        <v>2</v>
      </c>
      <c r="H187" s="67" t="s">
        <v>176</v>
      </c>
      <c r="I187" s="60"/>
      <c r="J187" s="68" t="str">
        <f t="shared" si="0"/>
        <v>CM CF E G&amp;A Cost</v>
      </c>
      <c r="K187" s="69" t="str">
        <f t="shared" si="1"/>
        <v xml:space="preserve">CM CF E12 Annual fess </v>
      </c>
      <c r="L187" s="70" t="str">
        <f t="shared" si="2"/>
        <v>CM CF E12-2 Software renewal chg</v>
      </c>
      <c r="M187" s="71" t="str">
        <f t="shared" si="3"/>
        <v>CM PL E G&amp;A Cost</v>
      </c>
      <c r="N187" s="72" t="str">
        <f t="shared" si="4"/>
        <v xml:space="preserve">CM PL E12 Annual fess </v>
      </c>
      <c r="O187" s="73" t="str">
        <f t="shared" si="5"/>
        <v>CM PL E12-2 Software renewal chg</v>
      </c>
      <c r="P187" s="104"/>
    </row>
    <row r="188" spans="1:16" s="74" customFormat="1" x14ac:dyDescent="0.2">
      <c r="A188" s="57" t="s">
        <v>374</v>
      </c>
      <c r="B188" s="57" t="s">
        <v>374</v>
      </c>
      <c r="C188" s="67" t="s">
        <v>325</v>
      </c>
      <c r="D188" s="67" t="s">
        <v>222</v>
      </c>
      <c r="E188" s="67">
        <v>13</v>
      </c>
      <c r="F188" s="67" t="s">
        <v>411</v>
      </c>
      <c r="G188" s="67">
        <v>1</v>
      </c>
      <c r="H188" s="67" t="s">
        <v>412</v>
      </c>
      <c r="I188" s="60"/>
      <c r="J188" s="68" t="str">
        <f t="shared" si="0"/>
        <v>CM CF E G&amp;A Cost</v>
      </c>
      <c r="K188" s="69" t="str">
        <f t="shared" si="1"/>
        <v xml:space="preserve">CM CF E13 Credit Card </v>
      </c>
      <c r="L188" s="70" t="str">
        <f t="shared" si="2"/>
        <v>CM CF E13-1 Gaurav  Sir Credit Card Expenses</v>
      </c>
      <c r="M188" s="71" t="str">
        <f t="shared" si="3"/>
        <v>CM PL E G&amp;A Cost</v>
      </c>
      <c r="N188" s="72" t="str">
        <f t="shared" ref="N188" si="17">IF(M188=0,0,IF(ISBLANK($F188)=FALSE,CONCATENATE(,$C$2," ",$M$2," ",$C188,$E188," ",$F188),0))</f>
        <v xml:space="preserve">CM PL E13 Credit Card </v>
      </c>
      <c r="O188" s="73" t="str">
        <f t="shared" ref="O188" si="18">IF(N188=0,0,IF(ISBLANK($F188)=FALSE,CONCATENATE(,$C$2," ",$M$2," ",$C188,$E188,,"-",$G188,," ",$H188),0))</f>
        <v>CM PL E13-1 Gaurav  Sir Credit Card Expenses</v>
      </c>
      <c r="P188" s="104"/>
    </row>
    <row r="189" spans="1:16" s="74" customFormat="1" x14ac:dyDescent="0.2">
      <c r="A189" s="57" t="s">
        <v>374</v>
      </c>
      <c r="B189" s="57" t="s">
        <v>374</v>
      </c>
      <c r="C189" s="67" t="s">
        <v>320</v>
      </c>
      <c r="D189" s="67" t="s">
        <v>383</v>
      </c>
      <c r="E189" s="67">
        <v>1</v>
      </c>
      <c r="F189" s="67" t="s">
        <v>174</v>
      </c>
      <c r="G189" s="67">
        <v>1</v>
      </c>
      <c r="H189" s="67" t="s">
        <v>173</v>
      </c>
      <c r="I189" s="60" t="s">
        <v>172</v>
      </c>
      <c r="J189" s="68" t="str">
        <f t="shared" si="0"/>
        <v>CM CF F Finance Cost</v>
      </c>
      <c r="K189" s="69" t="str">
        <f t="shared" si="1"/>
        <v>CM CF F1 Interest</v>
      </c>
      <c r="L189" s="70" t="str">
        <f t="shared" si="2"/>
        <v>CM CF F1-1 Bank Loan Interest</v>
      </c>
      <c r="M189" s="71" t="str">
        <f t="shared" si="3"/>
        <v>CM PL F Finance Cost</v>
      </c>
      <c r="N189" s="72" t="str">
        <f t="shared" si="4"/>
        <v>CM PL F1 Interest</v>
      </c>
      <c r="O189" s="73" t="str">
        <f t="shared" si="5"/>
        <v>CM PL F1-1 Bank Loan Interest</v>
      </c>
      <c r="P189" s="104"/>
    </row>
    <row r="190" spans="1:16" s="74" customFormat="1" x14ac:dyDescent="0.2">
      <c r="A190" s="57" t="s">
        <v>374</v>
      </c>
      <c r="B190" s="57" t="s">
        <v>374</v>
      </c>
      <c r="C190" s="67" t="s">
        <v>320</v>
      </c>
      <c r="D190" s="67" t="s">
        <v>383</v>
      </c>
      <c r="E190" s="67">
        <v>1</v>
      </c>
      <c r="F190" s="67" t="s">
        <v>174</v>
      </c>
      <c r="G190" s="67">
        <v>2</v>
      </c>
      <c r="H190" s="67" t="s">
        <v>171</v>
      </c>
      <c r="I190" s="60" t="s">
        <v>170</v>
      </c>
      <c r="J190" s="68" t="str">
        <f t="shared" si="0"/>
        <v>CM CF F Finance Cost</v>
      </c>
      <c r="K190" s="69" t="str">
        <f t="shared" si="1"/>
        <v>CM CF F1 Interest</v>
      </c>
      <c r="L190" s="70" t="str">
        <f t="shared" si="2"/>
        <v>CM CF F1-2 Investor Return</v>
      </c>
      <c r="M190" s="71" t="str">
        <f t="shared" si="3"/>
        <v>CM PL F Finance Cost</v>
      </c>
      <c r="N190" s="72" t="str">
        <f t="shared" si="4"/>
        <v>CM PL F1 Interest</v>
      </c>
      <c r="O190" s="73" t="str">
        <f t="shared" si="5"/>
        <v>CM PL F1-2 Investor Return</v>
      </c>
      <c r="P190" s="104"/>
    </row>
    <row r="191" spans="1:16" s="74" customFormat="1" x14ac:dyDescent="0.2">
      <c r="A191" s="57" t="s">
        <v>374</v>
      </c>
      <c r="B191" s="57" t="s">
        <v>374</v>
      </c>
      <c r="C191" s="67" t="s">
        <v>320</v>
      </c>
      <c r="D191" s="67" t="s">
        <v>383</v>
      </c>
      <c r="E191" s="67">
        <v>1</v>
      </c>
      <c r="F191" s="67" t="s">
        <v>174</v>
      </c>
      <c r="G191" s="67">
        <v>3</v>
      </c>
      <c r="H191" s="67" t="s">
        <v>169</v>
      </c>
      <c r="I191" s="60" t="s">
        <v>168</v>
      </c>
      <c r="J191" s="68" t="str">
        <f t="shared" si="0"/>
        <v>CM CF F Finance Cost</v>
      </c>
      <c r="K191" s="69" t="str">
        <f t="shared" si="1"/>
        <v>CM CF F1 Interest</v>
      </c>
      <c r="L191" s="70" t="str">
        <f t="shared" si="2"/>
        <v>CM CF F1-3 Partner Return</v>
      </c>
      <c r="M191" s="71" t="str">
        <f t="shared" si="3"/>
        <v>CM PL F Finance Cost</v>
      </c>
      <c r="N191" s="72" t="str">
        <f t="shared" si="4"/>
        <v>CM PL F1 Interest</v>
      </c>
      <c r="O191" s="73" t="str">
        <f t="shared" si="5"/>
        <v>CM PL F1-3 Partner Return</v>
      </c>
      <c r="P191" s="104"/>
    </row>
    <row r="192" spans="1:16" s="74" customFormat="1" x14ac:dyDescent="0.2">
      <c r="A192" s="57" t="s">
        <v>374</v>
      </c>
      <c r="B192" s="57" t="s">
        <v>374</v>
      </c>
      <c r="C192" s="67" t="s">
        <v>320</v>
      </c>
      <c r="D192" s="67" t="s">
        <v>383</v>
      </c>
      <c r="E192" s="67">
        <v>1</v>
      </c>
      <c r="F192" s="67" t="s">
        <v>174</v>
      </c>
      <c r="G192" s="67">
        <v>4</v>
      </c>
      <c r="H192" s="67" t="s">
        <v>441</v>
      </c>
      <c r="I192" s="60"/>
      <c r="J192" s="68" t="str">
        <f t="shared" si="0"/>
        <v>CM CF F Finance Cost</v>
      </c>
      <c r="K192" s="69" t="str">
        <f t="shared" si="1"/>
        <v>CM CF F1 Interest</v>
      </c>
      <c r="L192" s="70" t="str">
        <f t="shared" si="2"/>
        <v>CM CF F1-4 Interest on Other unsecured loan</v>
      </c>
      <c r="M192" s="71" t="str">
        <f t="shared" si="3"/>
        <v>CM PL F Finance Cost</v>
      </c>
      <c r="N192" s="72" t="str">
        <f t="shared" si="4"/>
        <v>CM PL F1 Interest</v>
      </c>
      <c r="O192" s="73" t="str">
        <f t="shared" si="5"/>
        <v>CM PL F1-4 Interest on Other unsecured loan</v>
      </c>
      <c r="P192" s="104"/>
    </row>
    <row r="193" spans="1:16" s="74" customFormat="1" x14ac:dyDescent="0.2">
      <c r="A193" s="57" t="s">
        <v>374</v>
      </c>
      <c r="B193" s="57" t="s">
        <v>374</v>
      </c>
      <c r="C193" s="67" t="s">
        <v>314</v>
      </c>
      <c r="D193" s="67" t="s">
        <v>381</v>
      </c>
      <c r="E193" s="67">
        <v>1</v>
      </c>
      <c r="F193" s="67" t="s">
        <v>382</v>
      </c>
      <c r="G193" s="67">
        <v>1</v>
      </c>
      <c r="H193" s="67" t="s">
        <v>442</v>
      </c>
      <c r="I193" s="60"/>
      <c r="J193" s="68" t="str">
        <f t="shared" si="0"/>
        <v>CM CF G Statutory Taxes/Interest/Penalty</v>
      </c>
      <c r="K193" s="69" t="str">
        <f t="shared" si="1"/>
        <v>CM CF G1 Interrest &amp; Penalty</v>
      </c>
      <c r="L193" s="70" t="str">
        <f t="shared" si="2"/>
        <v>CM CF G1-1 Interest on GST</v>
      </c>
      <c r="M193" s="71" t="str">
        <f t="shared" si="3"/>
        <v>CM PL G Statutory Taxes/Interest/Penalty</v>
      </c>
      <c r="N193" s="72" t="str">
        <f t="shared" si="4"/>
        <v>CM PL G1 Interrest &amp; Penalty</v>
      </c>
      <c r="O193" s="73" t="str">
        <f t="shared" si="5"/>
        <v>CM PL G1-1 Interest on GST</v>
      </c>
      <c r="P193" s="104"/>
    </row>
    <row r="194" spans="1:16" s="74" customFormat="1" x14ac:dyDescent="0.2">
      <c r="A194" s="57" t="s">
        <v>374</v>
      </c>
      <c r="B194" s="57" t="s">
        <v>374</v>
      </c>
      <c r="C194" s="67" t="s">
        <v>314</v>
      </c>
      <c r="D194" s="67" t="s">
        <v>381</v>
      </c>
      <c r="E194" s="67">
        <v>1</v>
      </c>
      <c r="F194" s="67" t="s">
        <v>382</v>
      </c>
      <c r="G194" s="67">
        <v>2</v>
      </c>
      <c r="H194" s="67" t="s">
        <v>443</v>
      </c>
      <c r="I194" s="60"/>
      <c r="J194" s="68" t="str">
        <f t="shared" si="0"/>
        <v>CM CF G Statutory Taxes/Interest/Penalty</v>
      </c>
      <c r="K194" s="69" t="str">
        <f t="shared" si="1"/>
        <v>CM CF G1 Interrest &amp; Penalty</v>
      </c>
      <c r="L194" s="70" t="str">
        <f t="shared" si="2"/>
        <v>CM CF G1-2 Interest or Penalty on Income Tax</v>
      </c>
      <c r="M194" s="71" t="str">
        <f t="shared" si="3"/>
        <v>CM PL G Statutory Taxes/Interest/Penalty</v>
      </c>
      <c r="N194" s="72" t="str">
        <f t="shared" si="4"/>
        <v>CM PL G1 Interrest &amp; Penalty</v>
      </c>
      <c r="O194" s="73" t="str">
        <f t="shared" si="5"/>
        <v>CM PL G1-2 Interest or Penalty on Income Tax</v>
      </c>
      <c r="P194" s="104"/>
    </row>
    <row r="195" spans="1:16" s="74" customFormat="1" x14ac:dyDescent="0.2">
      <c r="A195" s="57" t="s">
        <v>374</v>
      </c>
      <c r="B195" s="57" t="s">
        <v>374</v>
      </c>
      <c r="C195" s="67" t="s">
        <v>314</v>
      </c>
      <c r="D195" s="67" t="s">
        <v>381</v>
      </c>
      <c r="E195" s="67">
        <v>1</v>
      </c>
      <c r="F195" s="67" t="s">
        <v>382</v>
      </c>
      <c r="G195" s="67">
        <v>3</v>
      </c>
      <c r="H195" s="67" t="s">
        <v>444</v>
      </c>
      <c r="I195" s="60"/>
      <c r="J195" s="68" t="str">
        <f t="shared" si="0"/>
        <v>CM CF G Statutory Taxes/Interest/Penalty</v>
      </c>
      <c r="K195" s="69" t="str">
        <f t="shared" si="1"/>
        <v>CM CF G1 Interrest &amp; Penalty</v>
      </c>
      <c r="L195" s="70" t="str">
        <f t="shared" si="2"/>
        <v>CM CF G1-3 Interest &amp; Penalty on TDS</v>
      </c>
      <c r="M195" s="71" t="str">
        <f t="shared" si="3"/>
        <v>CM PL G Statutory Taxes/Interest/Penalty</v>
      </c>
      <c r="N195" s="72" t="str">
        <f t="shared" si="4"/>
        <v>CM PL G1 Interrest &amp; Penalty</v>
      </c>
      <c r="O195" s="73" t="str">
        <f t="shared" si="5"/>
        <v>CM PL G1-3 Interest &amp; Penalty on TDS</v>
      </c>
      <c r="P195" s="104"/>
    </row>
    <row r="196" spans="1:16" s="74" customFormat="1" x14ac:dyDescent="0.2">
      <c r="A196" s="57" t="s">
        <v>375</v>
      </c>
      <c r="B196" s="57" t="s">
        <v>374</v>
      </c>
      <c r="C196" s="67" t="s">
        <v>308</v>
      </c>
      <c r="D196" s="67" t="s">
        <v>22</v>
      </c>
      <c r="E196" s="67">
        <v>1</v>
      </c>
      <c r="F196" s="67" t="s">
        <v>415</v>
      </c>
      <c r="G196" s="67">
        <v>1</v>
      </c>
      <c r="H196" s="67" t="s">
        <v>416</v>
      </c>
      <c r="I196" s="60"/>
      <c r="J196" s="68">
        <f t="shared" si="0"/>
        <v>0</v>
      </c>
      <c r="K196" s="69">
        <f t="shared" si="1"/>
        <v>0</v>
      </c>
      <c r="L196" s="70">
        <f t="shared" si="2"/>
        <v>0</v>
      </c>
      <c r="M196" s="71" t="str">
        <f t="shared" si="3"/>
        <v>CM PL H Government Duties &amp; Taxes Paid</v>
      </c>
      <c r="N196" s="72" t="str">
        <f t="shared" ref="N196" si="19">IF(M196=0,0,IF(ISBLANK($F196)=FALSE,CONCATENATE(,$C$2," ",$M$2," ",$C196,$E196," ",$F196),0))</f>
        <v>CM PL H1 GST ITC Expense</v>
      </c>
      <c r="O196" s="73" t="str">
        <f t="shared" ref="O196" si="20">IF(N196=0,0,IF(ISBLANK($F196)=FALSE,CONCATENATE(,$C$2," ",$M$2," ",$C196,$E196,,"-",$G196,," ",$H196),0))</f>
        <v>CM PL H1-1 GST  ITC Expense out</v>
      </c>
      <c r="P196" s="104"/>
    </row>
    <row r="197" spans="1:16" s="74" customFormat="1" x14ac:dyDescent="0.2">
      <c r="A197" s="57" t="s">
        <v>375</v>
      </c>
      <c r="B197" s="57" t="s">
        <v>374</v>
      </c>
      <c r="C197" s="67" t="s">
        <v>308</v>
      </c>
      <c r="D197" s="67" t="s">
        <v>22</v>
      </c>
      <c r="E197" s="67">
        <v>2</v>
      </c>
      <c r="F197" s="67" t="s">
        <v>21</v>
      </c>
      <c r="G197" s="67">
        <v>1</v>
      </c>
      <c r="H197" s="67" t="s">
        <v>413</v>
      </c>
      <c r="I197" s="60" t="s">
        <v>445</v>
      </c>
      <c r="J197" s="68">
        <f t="shared" si="0"/>
        <v>0</v>
      </c>
      <c r="K197" s="69">
        <f t="shared" si="1"/>
        <v>0</v>
      </c>
      <c r="L197" s="70">
        <f t="shared" si="2"/>
        <v>0</v>
      </c>
      <c r="M197" s="71" t="str">
        <f t="shared" si="3"/>
        <v>CM PL H Government Duties &amp; Taxes Paid</v>
      </c>
      <c r="N197" s="72" t="str">
        <f t="shared" ref="N197:N202" si="21">IF(M197=0,0,IF(ISBLANK($F197)=FALSE,CONCATENATE(,$C$2," ",$M$2," ",$C197,$E197," ",$F197),0))</f>
        <v>CM PL H2 Income Tax</v>
      </c>
      <c r="O197" s="73" t="str">
        <f t="shared" ref="O197:O202" si="22">IF(N197=0,0,IF(ISBLANK($F197)=FALSE,CONCATENATE(,$C$2," ",$M$2," ",$C197,$E197,,"-",$G197,," ",$H197),0))</f>
        <v xml:space="preserve">CM PL H2-1 Direct Tax </v>
      </c>
      <c r="P197" s="104"/>
    </row>
    <row r="198" spans="1:16" s="74" customFormat="1" ht="16" x14ac:dyDescent="0.2">
      <c r="A198" s="57" t="s">
        <v>374</v>
      </c>
      <c r="B198" s="57" t="s">
        <v>375</v>
      </c>
      <c r="C198" s="67" t="s">
        <v>308</v>
      </c>
      <c r="D198" s="67" t="s">
        <v>22</v>
      </c>
      <c r="E198" s="67">
        <v>3</v>
      </c>
      <c r="F198" s="67" t="s">
        <v>166</v>
      </c>
      <c r="G198" s="67">
        <v>1</v>
      </c>
      <c r="H198" s="75" t="s">
        <v>451</v>
      </c>
      <c r="I198" s="60" t="s">
        <v>446</v>
      </c>
      <c r="J198" s="68" t="str">
        <f t="shared" si="0"/>
        <v>CM CF H Government Duties &amp; Taxes Paid</v>
      </c>
      <c r="K198" s="69" t="str">
        <f t="shared" si="1"/>
        <v>CM CF H3 TDS</v>
      </c>
      <c r="L198" s="70" t="str">
        <f t="shared" si="2"/>
        <v>CM CF H3-1 TDS Liability Paid - CM &amp; Buildings</v>
      </c>
      <c r="M198" s="71">
        <f t="shared" si="3"/>
        <v>0</v>
      </c>
      <c r="N198" s="72">
        <f t="shared" si="21"/>
        <v>0</v>
      </c>
      <c r="O198" s="73">
        <f t="shared" si="22"/>
        <v>0</v>
      </c>
      <c r="P198" s="104"/>
    </row>
    <row r="199" spans="1:16" s="74" customFormat="1" x14ac:dyDescent="0.2">
      <c r="A199" s="57" t="s">
        <v>374</v>
      </c>
      <c r="B199" s="57" t="s">
        <v>375</v>
      </c>
      <c r="C199" s="67" t="s">
        <v>308</v>
      </c>
      <c r="D199" s="67" t="s">
        <v>22</v>
      </c>
      <c r="E199" s="67">
        <v>4</v>
      </c>
      <c r="F199" s="67" t="s">
        <v>437</v>
      </c>
      <c r="G199" s="67">
        <v>1</v>
      </c>
      <c r="H199" s="67" t="s">
        <v>447</v>
      </c>
      <c r="I199" s="60" t="s">
        <v>448</v>
      </c>
      <c r="J199" s="68" t="str">
        <f t="shared" si="0"/>
        <v>CM CF H Government Duties &amp; Taxes Paid</v>
      </c>
      <c r="K199" s="69" t="str">
        <f t="shared" si="1"/>
        <v>CM CF H4 Output GST</v>
      </c>
      <c r="L199" s="70" t="str">
        <f t="shared" si="2"/>
        <v xml:space="preserve">CM CF H4-1 IGST CGST SGST Paid </v>
      </c>
      <c r="M199" s="71">
        <f t="shared" si="3"/>
        <v>0</v>
      </c>
      <c r="N199" s="72">
        <f t="shared" si="21"/>
        <v>0</v>
      </c>
      <c r="O199" s="73">
        <f t="shared" si="22"/>
        <v>0</v>
      </c>
      <c r="P199" s="104"/>
    </row>
    <row r="200" spans="1:16" s="74" customFormat="1" x14ac:dyDescent="0.2">
      <c r="A200" s="57" t="s">
        <v>374</v>
      </c>
      <c r="B200" s="57" t="s">
        <v>375</v>
      </c>
      <c r="C200" s="67" t="s">
        <v>308</v>
      </c>
      <c r="D200" s="67" t="s">
        <v>22</v>
      </c>
      <c r="E200" s="67">
        <v>5</v>
      </c>
      <c r="F200" s="67" t="s">
        <v>438</v>
      </c>
      <c r="G200" s="67">
        <v>1</v>
      </c>
      <c r="H200" s="67" t="s">
        <v>439</v>
      </c>
      <c r="I200" s="60" t="s">
        <v>448</v>
      </c>
      <c r="J200" s="68" t="str">
        <f t="shared" si="0"/>
        <v>CM CF H Government Duties &amp; Taxes Paid</v>
      </c>
      <c r="K200" s="69" t="str">
        <f t="shared" si="1"/>
        <v>CM CF H5 RCM GST</v>
      </c>
      <c r="L200" s="70" t="str">
        <f t="shared" si="2"/>
        <v>CM CF H5-1 RCM IGST CGST SGST Paid</v>
      </c>
      <c r="M200" s="71">
        <f t="shared" si="3"/>
        <v>0</v>
      </c>
      <c r="N200" s="72">
        <f t="shared" si="21"/>
        <v>0</v>
      </c>
      <c r="O200" s="73">
        <f t="shared" si="22"/>
        <v>0</v>
      </c>
      <c r="P200" s="104"/>
    </row>
    <row r="201" spans="1:16" s="74" customFormat="1" x14ac:dyDescent="0.2">
      <c r="A201" s="57" t="s">
        <v>374</v>
      </c>
      <c r="B201" s="57" t="s">
        <v>375</v>
      </c>
      <c r="C201" s="67" t="s">
        <v>308</v>
      </c>
      <c r="D201" s="67" t="s">
        <v>22</v>
      </c>
      <c r="E201" s="67">
        <v>6</v>
      </c>
      <c r="F201" s="67" t="s">
        <v>449</v>
      </c>
      <c r="G201" s="67">
        <v>1</v>
      </c>
      <c r="H201" s="67" t="s">
        <v>450</v>
      </c>
      <c r="I201" s="60"/>
      <c r="J201" s="68" t="str">
        <f t="shared" si="0"/>
        <v>CM CF H Government Duties &amp; Taxes Paid</v>
      </c>
      <c r="K201" s="69" t="str">
        <f t="shared" si="1"/>
        <v>CM CF H6 Income Tax -Advance</v>
      </c>
      <c r="L201" s="70" t="str">
        <f t="shared" si="2"/>
        <v>CM CF H6-1 IT Advance Tax Paid</v>
      </c>
      <c r="M201" s="71">
        <f t="shared" si="3"/>
        <v>0</v>
      </c>
      <c r="N201" s="72">
        <f t="shared" si="21"/>
        <v>0</v>
      </c>
      <c r="O201" s="73">
        <f t="shared" si="22"/>
        <v>0</v>
      </c>
      <c r="P201" s="104"/>
    </row>
    <row r="202" spans="1:16" s="74" customFormat="1" x14ac:dyDescent="0.2">
      <c r="A202" s="57" t="s">
        <v>374</v>
      </c>
      <c r="B202" s="57" t="s">
        <v>374</v>
      </c>
      <c r="C202" s="67" t="s">
        <v>308</v>
      </c>
      <c r="D202" s="67" t="s">
        <v>22</v>
      </c>
      <c r="E202" s="67">
        <v>7</v>
      </c>
      <c r="F202" s="67" t="s">
        <v>20</v>
      </c>
      <c r="G202" s="67">
        <v>1</v>
      </c>
      <c r="H202" s="67" t="s">
        <v>384</v>
      </c>
      <c r="I202" s="60"/>
      <c r="J202" s="68" t="str">
        <f t="shared" si="0"/>
        <v>CM CF H Government Duties &amp; Taxes Paid</v>
      </c>
      <c r="K202" s="69" t="str">
        <f t="shared" si="1"/>
        <v>CM CF H7 Professional Tax</v>
      </c>
      <c r="L202" s="70" t="str">
        <f t="shared" si="2"/>
        <v>CM CF H7-1 Professional Tax Paid</v>
      </c>
      <c r="M202" s="71" t="str">
        <f t="shared" si="3"/>
        <v>CM PL H Government Duties &amp; Taxes Paid</v>
      </c>
      <c r="N202" s="72" t="str">
        <f t="shared" si="21"/>
        <v>CM PL H7 Professional Tax</v>
      </c>
      <c r="O202" s="73" t="str">
        <f t="shared" si="22"/>
        <v>CM PL H7-1 Professional Tax Paid</v>
      </c>
      <c r="P202" s="104"/>
    </row>
    <row r="203" spans="1:16" s="74" customFormat="1" x14ac:dyDescent="0.2">
      <c r="A203" s="57" t="s">
        <v>375</v>
      </c>
      <c r="B203" s="57" t="s">
        <v>374</v>
      </c>
      <c r="C203" s="67" t="s">
        <v>292</v>
      </c>
      <c r="D203" s="67" t="s">
        <v>386</v>
      </c>
      <c r="E203" s="67">
        <v>1</v>
      </c>
      <c r="F203" s="67" t="s">
        <v>386</v>
      </c>
      <c r="G203" s="67">
        <v>1</v>
      </c>
      <c r="H203" s="67" t="s">
        <v>2</v>
      </c>
      <c r="I203" s="60"/>
      <c r="J203" s="68">
        <f t="shared" si="0"/>
        <v>0</v>
      </c>
      <c r="K203" s="69">
        <f t="shared" si="1"/>
        <v>0</v>
      </c>
      <c r="L203" s="70">
        <f t="shared" si="2"/>
        <v>0</v>
      </c>
      <c r="M203" s="71" t="str">
        <f>IF($B203="No",0,IF(ISBLANK($D203)=FALSE,CONCATENATE(,$C$2," ",$M$2," ",$C203," ",$D203),0))</f>
        <v>CM PL I Depreciation</v>
      </c>
      <c r="N203" s="72" t="str">
        <f t="shared" si="4"/>
        <v>CM PL I1 Depreciation</v>
      </c>
      <c r="O203" s="73" t="str">
        <f t="shared" si="5"/>
        <v>CM PL I1-1 Computer and peripherals</v>
      </c>
      <c r="P203" s="104"/>
    </row>
    <row r="204" spans="1:16" s="74" customFormat="1" x14ac:dyDescent="0.2">
      <c r="A204" s="57" t="s">
        <v>375</v>
      </c>
      <c r="B204" s="57" t="s">
        <v>374</v>
      </c>
      <c r="C204" s="67" t="s">
        <v>292</v>
      </c>
      <c r="D204" s="67" t="s">
        <v>386</v>
      </c>
      <c r="E204" s="67">
        <v>1</v>
      </c>
      <c r="F204" s="67" t="s">
        <v>386</v>
      </c>
      <c r="G204" s="67">
        <v>2</v>
      </c>
      <c r="H204" s="67" t="s">
        <v>1</v>
      </c>
      <c r="I204" s="60"/>
      <c r="J204" s="68">
        <f t="shared" si="0"/>
        <v>0</v>
      </c>
      <c r="K204" s="69">
        <f t="shared" si="1"/>
        <v>0</v>
      </c>
      <c r="L204" s="70">
        <f t="shared" si="2"/>
        <v>0</v>
      </c>
      <c r="M204" s="71" t="str">
        <f t="shared" si="3"/>
        <v>CM PL I Depreciation</v>
      </c>
      <c r="N204" s="72" t="str">
        <f t="shared" si="4"/>
        <v>CM PL I1 Depreciation</v>
      </c>
      <c r="O204" s="73" t="str">
        <f t="shared" si="5"/>
        <v>CM PL I1-2 Vehicle</v>
      </c>
      <c r="P204" s="104"/>
    </row>
    <row r="205" spans="1:16" s="74" customFormat="1" x14ac:dyDescent="0.2">
      <c r="A205" s="57" t="s">
        <v>375</v>
      </c>
      <c r="B205" s="57" t="s">
        <v>374</v>
      </c>
      <c r="C205" s="67" t="s">
        <v>292</v>
      </c>
      <c r="D205" s="67" t="s">
        <v>386</v>
      </c>
      <c r="E205" s="67">
        <v>1</v>
      </c>
      <c r="F205" s="67" t="s">
        <v>386</v>
      </c>
      <c r="G205" s="67">
        <v>3</v>
      </c>
      <c r="H205" s="67" t="s">
        <v>0</v>
      </c>
      <c r="I205" s="60"/>
      <c r="J205" s="68">
        <f t="shared" si="0"/>
        <v>0</v>
      </c>
      <c r="K205" s="69">
        <f t="shared" si="1"/>
        <v>0</v>
      </c>
      <c r="L205" s="70">
        <f t="shared" si="2"/>
        <v>0</v>
      </c>
      <c r="M205" s="71" t="str">
        <f t="shared" si="3"/>
        <v>CM PL I Depreciation</v>
      </c>
      <c r="N205" s="72" t="str">
        <f t="shared" si="4"/>
        <v>CM PL I1 Depreciation</v>
      </c>
      <c r="O205" s="73" t="str">
        <f t="shared" si="5"/>
        <v>CM PL I1-3 Office Equipments</v>
      </c>
      <c r="P205" s="104"/>
    </row>
    <row r="206" spans="1:16" s="74" customFormat="1" x14ac:dyDescent="0.2">
      <c r="A206" s="57" t="s">
        <v>374</v>
      </c>
      <c r="B206" s="57" t="s">
        <v>375</v>
      </c>
      <c r="C206" s="67" t="s">
        <v>248</v>
      </c>
      <c r="D206" s="67" t="s">
        <v>29</v>
      </c>
      <c r="E206" s="67">
        <v>1</v>
      </c>
      <c r="F206" s="67" t="s">
        <v>28</v>
      </c>
      <c r="G206" s="67">
        <v>1</v>
      </c>
      <c r="H206" s="67" t="s">
        <v>27</v>
      </c>
      <c r="I206" s="60"/>
      <c r="J206" s="68" t="str">
        <f t="shared" si="0"/>
        <v>CM CF J Loans and Advance</v>
      </c>
      <c r="K206" s="69" t="str">
        <f t="shared" si="1"/>
        <v>CM CF J1 Loans &amp; Advances Given</v>
      </c>
      <c r="L206" s="70" t="str">
        <f t="shared" si="2"/>
        <v>CM CF J1-1 Third Party Advance Receivable</v>
      </c>
      <c r="M206" s="71">
        <f t="shared" si="3"/>
        <v>0</v>
      </c>
      <c r="N206" s="72">
        <f t="shared" si="4"/>
        <v>0</v>
      </c>
      <c r="O206" s="73">
        <f t="shared" si="5"/>
        <v>0</v>
      </c>
      <c r="P206" s="104"/>
    </row>
    <row r="207" spans="1:16" s="74" customFormat="1" x14ac:dyDescent="0.2">
      <c r="A207" s="57" t="s">
        <v>374</v>
      </c>
      <c r="B207" s="57" t="s">
        <v>375</v>
      </c>
      <c r="C207" s="67" t="s">
        <v>248</v>
      </c>
      <c r="D207" s="67" t="s">
        <v>29</v>
      </c>
      <c r="E207" s="67">
        <v>1</v>
      </c>
      <c r="F207" s="67" t="s">
        <v>28</v>
      </c>
      <c r="G207" s="67">
        <v>2</v>
      </c>
      <c r="H207" s="67" t="s">
        <v>26</v>
      </c>
      <c r="I207" s="60"/>
      <c r="J207" s="68" t="str">
        <f t="shared" si="0"/>
        <v>CM CF J Loans and Advance</v>
      </c>
      <c r="K207" s="69" t="str">
        <f t="shared" si="1"/>
        <v>CM CF J1 Loans &amp; Advances Given</v>
      </c>
      <c r="L207" s="70" t="str">
        <f t="shared" si="2"/>
        <v>CM CF J1-2 Related Party Advance Receivable</v>
      </c>
      <c r="M207" s="71">
        <f t="shared" si="3"/>
        <v>0</v>
      </c>
      <c r="N207" s="72">
        <f t="shared" si="4"/>
        <v>0</v>
      </c>
      <c r="O207" s="73">
        <f t="shared" si="5"/>
        <v>0</v>
      </c>
      <c r="P207" s="104"/>
    </row>
    <row r="208" spans="1:16" s="74" customFormat="1" x14ac:dyDescent="0.2">
      <c r="A208" s="57" t="s">
        <v>374</v>
      </c>
      <c r="B208" s="57" t="s">
        <v>375</v>
      </c>
      <c r="C208" s="67" t="s">
        <v>248</v>
      </c>
      <c r="D208" s="67" t="s">
        <v>29</v>
      </c>
      <c r="E208" s="67">
        <v>1</v>
      </c>
      <c r="F208" s="67" t="s">
        <v>28</v>
      </c>
      <c r="G208" s="67">
        <v>3</v>
      </c>
      <c r="H208" s="67" t="s">
        <v>25</v>
      </c>
      <c r="I208" s="60"/>
      <c r="J208" s="68" t="str">
        <f t="shared" si="0"/>
        <v>CM CF J Loans and Advance</v>
      </c>
      <c r="K208" s="69" t="str">
        <f t="shared" si="1"/>
        <v>CM CF J1 Loans &amp; Advances Given</v>
      </c>
      <c r="L208" s="70" t="str">
        <f t="shared" si="2"/>
        <v>CM CF J1-3 Director Advance receivable</v>
      </c>
      <c r="M208" s="71">
        <f t="shared" si="3"/>
        <v>0</v>
      </c>
      <c r="N208" s="72">
        <f t="shared" si="4"/>
        <v>0</v>
      </c>
      <c r="O208" s="73">
        <f t="shared" si="5"/>
        <v>0</v>
      </c>
      <c r="P208" s="104"/>
    </row>
    <row r="209" spans="1:16" s="74" customFormat="1" x14ac:dyDescent="0.2">
      <c r="A209" s="57" t="s">
        <v>374</v>
      </c>
      <c r="B209" s="57" t="s">
        <v>375</v>
      </c>
      <c r="C209" s="67" t="s">
        <v>248</v>
      </c>
      <c r="D209" s="67" t="s">
        <v>29</v>
      </c>
      <c r="E209" s="67">
        <v>1</v>
      </c>
      <c r="F209" s="67" t="s">
        <v>28</v>
      </c>
      <c r="G209" s="67">
        <v>4</v>
      </c>
      <c r="H209" s="67" t="s">
        <v>24</v>
      </c>
      <c r="I209" s="60"/>
      <c r="J209" s="68" t="str">
        <f t="shared" si="0"/>
        <v>CM CF J Loans and Advance</v>
      </c>
      <c r="K209" s="69" t="str">
        <f t="shared" si="1"/>
        <v>CM CF J1 Loans &amp; Advances Given</v>
      </c>
      <c r="L209" s="70" t="str">
        <f t="shared" si="2"/>
        <v>CM CF J1-4 Employees Advance</v>
      </c>
      <c r="M209" s="71">
        <f t="shared" si="3"/>
        <v>0</v>
      </c>
      <c r="N209" s="72">
        <f t="shared" si="4"/>
        <v>0</v>
      </c>
      <c r="O209" s="73">
        <f t="shared" si="5"/>
        <v>0</v>
      </c>
      <c r="P209" s="104"/>
    </row>
    <row r="210" spans="1:16" s="74" customFormat="1" x14ac:dyDescent="0.2">
      <c r="A210" s="57" t="s">
        <v>374</v>
      </c>
      <c r="B210" s="57" t="s">
        <v>375</v>
      </c>
      <c r="C210" s="67" t="s">
        <v>248</v>
      </c>
      <c r="D210" s="67" t="s">
        <v>29</v>
      </c>
      <c r="E210" s="67">
        <v>1</v>
      </c>
      <c r="F210" s="67" t="s">
        <v>28</v>
      </c>
      <c r="G210" s="67">
        <v>5</v>
      </c>
      <c r="H210" s="67" t="s">
        <v>402</v>
      </c>
      <c r="I210" s="60"/>
      <c r="J210" s="68" t="str">
        <f t="shared" si="0"/>
        <v>CM CF J Loans and Advance</v>
      </c>
      <c r="K210" s="69" t="str">
        <f t="shared" si="1"/>
        <v>CM CF J1 Loans &amp; Advances Given</v>
      </c>
      <c r="L210" s="70" t="str">
        <f t="shared" si="2"/>
        <v>CM CF J1-5 Vendor Advance</v>
      </c>
      <c r="M210" s="71"/>
      <c r="N210" s="72"/>
      <c r="O210" s="73"/>
      <c r="P210" s="104"/>
    </row>
    <row r="211" spans="1:16" s="74" customFormat="1" x14ac:dyDescent="0.2">
      <c r="A211" s="57" t="s">
        <v>374</v>
      </c>
      <c r="B211" s="57" t="s">
        <v>375</v>
      </c>
      <c r="C211" s="67" t="s">
        <v>223</v>
      </c>
      <c r="D211" s="67" t="s">
        <v>385</v>
      </c>
      <c r="E211" s="67">
        <v>1</v>
      </c>
      <c r="F211" s="67" t="s">
        <v>2</v>
      </c>
      <c r="G211" s="67">
        <v>1</v>
      </c>
      <c r="H211" s="67" t="s">
        <v>2</v>
      </c>
      <c r="I211" s="60"/>
      <c r="J211" s="68" t="str">
        <f t="shared" si="0"/>
        <v>CM CF K Fixed Assets</v>
      </c>
      <c r="K211" s="69" t="str">
        <f t="shared" si="1"/>
        <v>CM CF K1 Computer and peripherals</v>
      </c>
      <c r="L211" s="70" t="str">
        <f t="shared" si="2"/>
        <v>CM CF K1-1 Computer and peripherals</v>
      </c>
      <c r="M211" s="71">
        <f t="shared" si="3"/>
        <v>0</v>
      </c>
      <c r="N211" s="72">
        <f t="shared" si="4"/>
        <v>0</v>
      </c>
      <c r="O211" s="73">
        <f t="shared" si="5"/>
        <v>0</v>
      </c>
      <c r="P211" s="104"/>
    </row>
    <row r="212" spans="1:16" s="74" customFormat="1" x14ac:dyDescent="0.2">
      <c r="A212" s="57" t="s">
        <v>374</v>
      </c>
      <c r="B212" s="57" t="s">
        <v>375</v>
      </c>
      <c r="C212" s="67" t="s">
        <v>223</v>
      </c>
      <c r="D212" s="67" t="s">
        <v>385</v>
      </c>
      <c r="E212" s="67">
        <v>2</v>
      </c>
      <c r="F212" s="67" t="s">
        <v>1</v>
      </c>
      <c r="G212" s="67">
        <v>1</v>
      </c>
      <c r="H212" s="67" t="s">
        <v>1</v>
      </c>
      <c r="I212" s="60"/>
      <c r="J212" s="68" t="str">
        <f t="shared" si="0"/>
        <v>CM CF K Fixed Assets</v>
      </c>
      <c r="K212" s="69" t="str">
        <f t="shared" si="1"/>
        <v>CM CF K2 Vehicle</v>
      </c>
      <c r="L212" s="70" t="str">
        <f t="shared" si="2"/>
        <v>CM CF K2-1 Vehicle</v>
      </c>
      <c r="M212" s="71">
        <f t="shared" si="3"/>
        <v>0</v>
      </c>
      <c r="N212" s="72">
        <f t="shared" si="4"/>
        <v>0</v>
      </c>
      <c r="O212" s="73">
        <f t="shared" si="5"/>
        <v>0</v>
      </c>
      <c r="P212" s="104"/>
    </row>
    <row r="213" spans="1:16" s="74" customFormat="1" x14ac:dyDescent="0.2">
      <c r="A213" s="57" t="s">
        <v>374</v>
      </c>
      <c r="B213" s="57" t="s">
        <v>375</v>
      </c>
      <c r="C213" s="67" t="s">
        <v>223</v>
      </c>
      <c r="D213" s="67" t="s">
        <v>385</v>
      </c>
      <c r="E213" s="67">
        <v>3</v>
      </c>
      <c r="F213" s="67" t="s">
        <v>0</v>
      </c>
      <c r="G213" s="67">
        <v>1</v>
      </c>
      <c r="H213" s="67" t="s">
        <v>0</v>
      </c>
      <c r="I213" s="60"/>
      <c r="J213" s="68" t="str">
        <f t="shared" si="0"/>
        <v>CM CF K Fixed Assets</v>
      </c>
      <c r="K213" s="69" t="str">
        <f t="shared" si="1"/>
        <v>CM CF K3 Office Equipments</v>
      </c>
      <c r="L213" s="70" t="str">
        <f t="shared" si="2"/>
        <v>CM CF K3-1 Office Equipments</v>
      </c>
      <c r="M213" s="71">
        <f t="shared" si="3"/>
        <v>0</v>
      </c>
      <c r="N213" s="72">
        <f t="shared" si="4"/>
        <v>0</v>
      </c>
      <c r="O213" s="73">
        <f t="shared" si="5"/>
        <v>0</v>
      </c>
      <c r="P213" s="104"/>
    </row>
    <row r="214" spans="1:16" s="74" customFormat="1" x14ac:dyDescent="0.2">
      <c r="A214" s="57" t="s">
        <v>374</v>
      </c>
      <c r="B214" s="57" t="s">
        <v>375</v>
      </c>
      <c r="C214" s="67" t="s">
        <v>175</v>
      </c>
      <c r="D214" s="67" t="s">
        <v>12</v>
      </c>
      <c r="E214" s="67">
        <v>1</v>
      </c>
      <c r="F214" s="67" t="s">
        <v>11</v>
      </c>
      <c r="G214" s="67">
        <v>1</v>
      </c>
      <c r="H214" s="67" t="s">
        <v>10</v>
      </c>
      <c r="I214" s="60"/>
      <c r="J214" s="68" t="str">
        <f t="shared" si="0"/>
        <v>CM CF L Deposit</v>
      </c>
      <c r="K214" s="69" t="str">
        <f t="shared" si="1"/>
        <v>CM CF L1 Refundable Deposit- Landowner</v>
      </c>
      <c r="L214" s="70" t="str">
        <f t="shared" si="2"/>
        <v>CM CF L1-1 Landowner-1</v>
      </c>
      <c r="M214" s="71">
        <f t="shared" si="3"/>
        <v>0</v>
      </c>
      <c r="N214" s="72">
        <f t="shared" si="4"/>
        <v>0</v>
      </c>
      <c r="O214" s="73">
        <f t="shared" si="5"/>
        <v>0</v>
      </c>
      <c r="P214" s="104"/>
    </row>
    <row r="215" spans="1:16" s="74" customFormat="1" x14ac:dyDescent="0.2">
      <c r="A215" s="57" t="s">
        <v>374</v>
      </c>
      <c r="B215" s="57" t="s">
        <v>375</v>
      </c>
      <c r="C215" s="67" t="s">
        <v>175</v>
      </c>
      <c r="D215" s="67" t="s">
        <v>12</v>
      </c>
      <c r="E215" s="67">
        <v>1</v>
      </c>
      <c r="F215" s="67" t="s">
        <v>11</v>
      </c>
      <c r="G215" s="67">
        <v>2</v>
      </c>
      <c r="H215" s="67" t="s">
        <v>9</v>
      </c>
      <c r="I215" s="60"/>
      <c r="J215" s="68" t="str">
        <f t="shared" ref="J215:J293" si="23">IF($A215="No",0,IF(ISBLANK($D215)=FALSE,CONCATENATE(,$C$2," ",$J$2," ",$C215," ",$D215),0))</f>
        <v>CM CF L Deposit</v>
      </c>
      <c r="K215" s="69" t="str">
        <f t="shared" ref="K215:K293" si="24">IF($J215=0,0,IF(ISBLANK($F215)=FALSE,CONCATENATE(,$C$2," ",$J$2," ",$C215,$E215," ",$F215),0))</f>
        <v>CM CF L1 Refundable Deposit- Landowner</v>
      </c>
      <c r="L215" s="70" t="str">
        <f t="shared" ref="L215:L293" si="25">IF($K215=0,0,IF(ISBLANK($F215)=FALSE,CONCATENATE(,$C$2," ",$J$2," ",$C215,$E215,,"-",$G215,," ",$H215),0))</f>
        <v>CM CF L1-2 Landowner-2</v>
      </c>
      <c r="M215" s="71">
        <f t="shared" ref="M215:M293" si="26">IF($B215="No",0,IF(ISBLANK($D215)=FALSE,CONCATENATE(,$C$2," ",$M$2," ",$C215," ",$D215),0))</f>
        <v>0</v>
      </c>
      <c r="N215" s="72">
        <f t="shared" ref="N215:N293" si="27">IF(M215=0,0,IF(ISBLANK($F215)=FALSE,CONCATENATE(,$C$2," ",$M$2," ",$C215,$E215," ",$F215),0))</f>
        <v>0</v>
      </c>
      <c r="O215" s="73">
        <f t="shared" ref="O215:O293" si="28">IF(N215=0,0,IF(ISBLANK($F215)=FALSE,CONCATENATE(,$C$2," ",$M$2," ",$C215,$E215,,"-",$G215,," ",$H215),0))</f>
        <v>0</v>
      </c>
      <c r="P215" s="104"/>
    </row>
    <row r="216" spans="1:16" s="74" customFormat="1" x14ac:dyDescent="0.2">
      <c r="A216" s="57" t="s">
        <v>374</v>
      </c>
      <c r="B216" s="57" t="s">
        <v>375</v>
      </c>
      <c r="C216" s="67" t="s">
        <v>175</v>
      </c>
      <c r="D216" s="67" t="s">
        <v>12</v>
      </c>
      <c r="E216" s="67">
        <v>1</v>
      </c>
      <c r="F216" s="67" t="s">
        <v>11</v>
      </c>
      <c r="G216" s="67">
        <v>3</v>
      </c>
      <c r="H216" s="67" t="s">
        <v>387</v>
      </c>
      <c r="I216" s="60"/>
      <c r="J216" s="68" t="str">
        <f t="shared" si="23"/>
        <v>CM CF L Deposit</v>
      </c>
      <c r="K216" s="69" t="str">
        <f t="shared" si="24"/>
        <v>CM CF L1 Refundable Deposit- Landowner</v>
      </c>
      <c r="L216" s="70" t="str">
        <f t="shared" si="25"/>
        <v>CM CF L1-3 Landowner-3</v>
      </c>
      <c r="M216" s="71">
        <f t="shared" si="26"/>
        <v>0</v>
      </c>
      <c r="N216" s="72">
        <f t="shared" si="27"/>
        <v>0</v>
      </c>
      <c r="O216" s="73">
        <f t="shared" si="28"/>
        <v>0</v>
      </c>
      <c r="P216" s="104"/>
    </row>
    <row r="217" spans="1:16" s="74" customFormat="1" x14ac:dyDescent="0.2">
      <c r="A217" s="57" t="s">
        <v>374</v>
      </c>
      <c r="B217" s="57" t="s">
        <v>375</v>
      </c>
      <c r="C217" s="67" t="s">
        <v>175</v>
      </c>
      <c r="D217" s="67" t="s">
        <v>12</v>
      </c>
      <c r="E217" s="67">
        <v>2</v>
      </c>
      <c r="F217" s="67" t="s">
        <v>8</v>
      </c>
      <c r="G217" s="67">
        <v>1</v>
      </c>
      <c r="H217" s="67" t="s">
        <v>7</v>
      </c>
      <c r="I217" s="60"/>
      <c r="J217" s="68" t="str">
        <f t="shared" si="23"/>
        <v>CM CF L Deposit</v>
      </c>
      <c r="K217" s="69" t="str">
        <f t="shared" si="24"/>
        <v>CM CF L2 Rent Deposit</v>
      </c>
      <c r="L217" s="70" t="str">
        <f t="shared" si="25"/>
        <v>CM CF L2-1 Rent deposit-1</v>
      </c>
      <c r="M217" s="71">
        <f t="shared" si="26"/>
        <v>0</v>
      </c>
      <c r="N217" s="72">
        <f t="shared" si="27"/>
        <v>0</v>
      </c>
      <c r="O217" s="73">
        <f t="shared" si="28"/>
        <v>0</v>
      </c>
      <c r="P217" s="104"/>
    </row>
    <row r="218" spans="1:16" s="74" customFormat="1" x14ac:dyDescent="0.2">
      <c r="A218" s="57" t="s">
        <v>374</v>
      </c>
      <c r="B218" s="57" t="s">
        <v>375</v>
      </c>
      <c r="C218" s="67" t="s">
        <v>175</v>
      </c>
      <c r="D218" s="67" t="s">
        <v>12</v>
      </c>
      <c r="E218" s="67">
        <v>2</v>
      </c>
      <c r="F218" s="67" t="s">
        <v>8</v>
      </c>
      <c r="G218" s="67">
        <v>2</v>
      </c>
      <c r="H218" s="67" t="s">
        <v>6</v>
      </c>
      <c r="I218" s="60"/>
      <c r="J218" s="68" t="str">
        <f t="shared" si="23"/>
        <v>CM CF L Deposit</v>
      </c>
      <c r="K218" s="69" t="str">
        <f t="shared" si="24"/>
        <v>CM CF L2 Rent Deposit</v>
      </c>
      <c r="L218" s="70" t="str">
        <f t="shared" si="25"/>
        <v>CM CF L2-2 Rent deposit-2</v>
      </c>
      <c r="M218" s="71">
        <f t="shared" si="26"/>
        <v>0</v>
      </c>
      <c r="N218" s="72">
        <f t="shared" si="27"/>
        <v>0</v>
      </c>
      <c r="O218" s="73">
        <f t="shared" si="28"/>
        <v>0</v>
      </c>
      <c r="P218" s="104"/>
    </row>
    <row r="219" spans="1:16" s="74" customFormat="1" x14ac:dyDescent="0.2">
      <c r="A219" s="57" t="s">
        <v>374</v>
      </c>
      <c r="B219" s="57" t="s">
        <v>375</v>
      </c>
      <c r="C219" s="67" t="s">
        <v>164</v>
      </c>
      <c r="D219" s="67" t="s">
        <v>339</v>
      </c>
      <c r="E219" s="67">
        <v>1</v>
      </c>
      <c r="F219" s="67" t="s">
        <v>338</v>
      </c>
      <c r="G219" s="67">
        <v>1</v>
      </c>
      <c r="H219" s="67" t="s">
        <v>337</v>
      </c>
      <c r="I219" s="60" t="s">
        <v>336</v>
      </c>
      <c r="J219" s="68" t="str">
        <f t="shared" si="23"/>
        <v>CM CF M Unsecured Loan</v>
      </c>
      <c r="K219" s="69" t="str">
        <f t="shared" si="24"/>
        <v>CM CF M1 Unsecured Loans Received</v>
      </c>
      <c r="L219" s="70" t="str">
        <f t="shared" si="25"/>
        <v>CM CF M1-1 Temporary Funding- Customer</v>
      </c>
      <c r="M219" s="71">
        <f t="shared" si="26"/>
        <v>0</v>
      </c>
      <c r="N219" s="72">
        <f t="shared" si="27"/>
        <v>0</v>
      </c>
      <c r="O219" s="73">
        <f t="shared" si="28"/>
        <v>0</v>
      </c>
      <c r="P219" s="104"/>
    </row>
    <row r="220" spans="1:16" s="74" customFormat="1" x14ac:dyDescent="0.2">
      <c r="A220" s="57" t="s">
        <v>374</v>
      </c>
      <c r="B220" s="57" t="s">
        <v>375</v>
      </c>
      <c r="C220" s="67" t="s">
        <v>164</v>
      </c>
      <c r="D220" s="67" t="s">
        <v>339</v>
      </c>
      <c r="E220" s="67">
        <v>1</v>
      </c>
      <c r="F220" s="67" t="s">
        <v>338</v>
      </c>
      <c r="G220" s="67">
        <v>2</v>
      </c>
      <c r="H220" s="67" t="s">
        <v>335</v>
      </c>
      <c r="I220" s="60" t="s">
        <v>334</v>
      </c>
      <c r="J220" s="68" t="str">
        <f t="shared" si="23"/>
        <v>CM CF M Unsecured Loan</v>
      </c>
      <c r="K220" s="69" t="str">
        <f t="shared" si="24"/>
        <v>CM CF M1 Unsecured Loans Received</v>
      </c>
      <c r="L220" s="70" t="str">
        <f t="shared" si="25"/>
        <v>CM CF M1-2 Temporary Funding- TP</v>
      </c>
      <c r="M220" s="71">
        <f t="shared" si="26"/>
        <v>0</v>
      </c>
      <c r="N220" s="72">
        <f t="shared" si="27"/>
        <v>0</v>
      </c>
      <c r="O220" s="73">
        <f t="shared" si="28"/>
        <v>0</v>
      </c>
      <c r="P220" s="104"/>
    </row>
    <row r="221" spans="1:16" s="74" customFormat="1" x14ac:dyDescent="0.2">
      <c r="A221" s="57" t="s">
        <v>374</v>
      </c>
      <c r="B221" s="57" t="s">
        <v>375</v>
      </c>
      <c r="C221" s="67" t="s">
        <v>164</v>
      </c>
      <c r="D221" s="67" t="s">
        <v>339</v>
      </c>
      <c r="E221" s="67">
        <v>1</v>
      </c>
      <c r="F221" s="67" t="s">
        <v>338</v>
      </c>
      <c r="G221" s="67">
        <v>3</v>
      </c>
      <c r="H221" s="67" t="s">
        <v>333</v>
      </c>
      <c r="I221" s="60" t="s">
        <v>332</v>
      </c>
      <c r="J221" s="68" t="str">
        <f t="shared" si="23"/>
        <v>CM CF M Unsecured Loan</v>
      </c>
      <c r="K221" s="69" t="str">
        <f t="shared" si="24"/>
        <v>CM CF M1 Unsecured Loans Received</v>
      </c>
      <c r="L221" s="70" t="str">
        <f t="shared" si="25"/>
        <v>CM CF M1-3 Temporary Funding- Related Party</v>
      </c>
      <c r="M221" s="71">
        <f t="shared" si="26"/>
        <v>0</v>
      </c>
      <c r="N221" s="72">
        <f t="shared" si="27"/>
        <v>0</v>
      </c>
      <c r="O221" s="73">
        <f t="shared" si="28"/>
        <v>0</v>
      </c>
      <c r="P221" s="104"/>
    </row>
    <row r="222" spans="1:16" s="74" customFormat="1" x14ac:dyDescent="0.2">
      <c r="A222" s="57" t="s">
        <v>374</v>
      </c>
      <c r="B222" s="57" t="s">
        <v>375</v>
      </c>
      <c r="C222" s="67" t="s">
        <v>149</v>
      </c>
      <c r="D222" s="67" t="s">
        <v>330</v>
      </c>
      <c r="E222" s="67">
        <v>1</v>
      </c>
      <c r="F222" s="67" t="s">
        <v>329</v>
      </c>
      <c r="G222" s="67">
        <v>1</v>
      </c>
      <c r="H222" s="67" t="s">
        <v>328</v>
      </c>
      <c r="I222" s="60"/>
      <c r="J222" s="68" t="str">
        <f t="shared" si="23"/>
        <v>CM CF N Investor Funding</v>
      </c>
      <c r="K222" s="69" t="str">
        <f t="shared" si="24"/>
        <v>CM CF N1 Equity Investor</v>
      </c>
      <c r="L222" s="70" t="str">
        <f t="shared" si="25"/>
        <v>CM CF N1-1 Equity Capital</v>
      </c>
      <c r="M222" s="71">
        <f t="shared" si="26"/>
        <v>0</v>
      </c>
      <c r="N222" s="72">
        <f t="shared" si="27"/>
        <v>0</v>
      </c>
      <c r="O222" s="73">
        <f t="shared" si="28"/>
        <v>0</v>
      </c>
      <c r="P222" s="104"/>
    </row>
    <row r="223" spans="1:16" s="74" customFormat="1" x14ac:dyDescent="0.2">
      <c r="A223" s="57" t="s">
        <v>374</v>
      </c>
      <c r="B223" s="57" t="s">
        <v>375</v>
      </c>
      <c r="C223" s="67" t="s">
        <v>149</v>
      </c>
      <c r="D223" s="67" t="s">
        <v>330</v>
      </c>
      <c r="E223" s="67">
        <v>2</v>
      </c>
      <c r="F223" s="67" t="s">
        <v>327</v>
      </c>
      <c r="G223" s="67">
        <v>2</v>
      </c>
      <c r="H223" s="67" t="s">
        <v>326</v>
      </c>
      <c r="I223" s="60"/>
      <c r="J223" s="68" t="str">
        <f t="shared" si="23"/>
        <v>CM CF N Investor Funding</v>
      </c>
      <c r="K223" s="69" t="str">
        <f t="shared" si="24"/>
        <v>CM CF N2 Debt Investor</v>
      </c>
      <c r="L223" s="70" t="str">
        <f t="shared" si="25"/>
        <v>CM CF N2-2 Investor Loan</v>
      </c>
      <c r="M223" s="71">
        <f t="shared" si="26"/>
        <v>0</v>
      </c>
      <c r="N223" s="72">
        <f t="shared" si="27"/>
        <v>0</v>
      </c>
      <c r="O223" s="73">
        <f t="shared" si="28"/>
        <v>0</v>
      </c>
      <c r="P223" s="104"/>
    </row>
    <row r="224" spans="1:16" s="74" customFormat="1" x14ac:dyDescent="0.2">
      <c r="A224" s="57" t="s">
        <v>374</v>
      </c>
      <c r="B224" s="57" t="s">
        <v>375</v>
      </c>
      <c r="C224" s="67" t="s">
        <v>143</v>
      </c>
      <c r="D224" s="67" t="s">
        <v>324</v>
      </c>
      <c r="E224" s="67">
        <v>1</v>
      </c>
      <c r="F224" s="67" t="s">
        <v>323</v>
      </c>
      <c r="G224" s="67">
        <v>1</v>
      </c>
      <c r="H224" s="67" t="s">
        <v>321</v>
      </c>
      <c r="I224" s="60"/>
      <c r="J224" s="68" t="str">
        <f t="shared" si="23"/>
        <v>CM CF O Financial Institution Funding</v>
      </c>
      <c r="K224" s="69" t="str">
        <f t="shared" si="24"/>
        <v>CM CF O1 Project Loan</v>
      </c>
      <c r="L224" s="70" t="str">
        <f t="shared" si="25"/>
        <v>CM CF O1-1 Financial Institution Draw</v>
      </c>
      <c r="M224" s="71">
        <f t="shared" si="26"/>
        <v>0</v>
      </c>
      <c r="N224" s="72">
        <f t="shared" si="27"/>
        <v>0</v>
      </c>
      <c r="O224" s="73">
        <f t="shared" si="28"/>
        <v>0</v>
      </c>
      <c r="P224" s="104"/>
    </row>
    <row r="225" spans="1:16" s="74" customFormat="1" x14ac:dyDescent="0.2">
      <c r="A225" s="57" t="s">
        <v>374</v>
      </c>
      <c r="B225" s="57" t="s">
        <v>375</v>
      </c>
      <c r="C225" s="67" t="s">
        <v>143</v>
      </c>
      <c r="D225" s="67" t="s">
        <v>324</v>
      </c>
      <c r="E225" s="67">
        <v>2</v>
      </c>
      <c r="F225" s="67" t="s">
        <v>322</v>
      </c>
      <c r="G225" s="67">
        <v>2</v>
      </c>
      <c r="H225" s="67" t="s">
        <v>321</v>
      </c>
      <c r="I225" s="60"/>
      <c r="J225" s="68" t="str">
        <f t="shared" si="23"/>
        <v>CM CF O Financial Institution Funding</v>
      </c>
      <c r="K225" s="69" t="str">
        <f t="shared" si="24"/>
        <v>CM CF O2 Construction Loan</v>
      </c>
      <c r="L225" s="70" t="str">
        <f t="shared" si="25"/>
        <v>CM CF O2-2 Financial Institution Draw</v>
      </c>
      <c r="M225" s="71">
        <f t="shared" si="26"/>
        <v>0</v>
      </c>
      <c r="N225" s="72">
        <f t="shared" si="27"/>
        <v>0</v>
      </c>
      <c r="O225" s="73">
        <f t="shared" si="28"/>
        <v>0</v>
      </c>
      <c r="P225" s="104"/>
    </row>
    <row r="226" spans="1:16" s="74" customFormat="1" x14ac:dyDescent="0.2">
      <c r="A226" s="57" t="s">
        <v>374</v>
      </c>
      <c r="B226" s="57" t="s">
        <v>375</v>
      </c>
      <c r="C226" s="67" t="s">
        <v>58</v>
      </c>
      <c r="D226" s="67" t="s">
        <v>319</v>
      </c>
      <c r="E226" s="67">
        <v>1</v>
      </c>
      <c r="F226" s="67" t="s">
        <v>318</v>
      </c>
      <c r="G226" s="67">
        <v>1</v>
      </c>
      <c r="H226" s="67" t="s">
        <v>317</v>
      </c>
      <c r="I226" s="60"/>
      <c r="J226" s="68" t="str">
        <f t="shared" si="23"/>
        <v>CM CF P Promoter Funding</v>
      </c>
      <c r="K226" s="69" t="str">
        <f t="shared" si="24"/>
        <v>CM CF P1 Promoter Equity</v>
      </c>
      <c r="L226" s="70" t="str">
        <f t="shared" si="25"/>
        <v>CM CF P1-1 Promoter Capital</v>
      </c>
      <c r="M226" s="71">
        <f t="shared" si="26"/>
        <v>0</v>
      </c>
      <c r="N226" s="72">
        <f t="shared" si="27"/>
        <v>0</v>
      </c>
      <c r="O226" s="73">
        <f t="shared" si="28"/>
        <v>0</v>
      </c>
      <c r="P226" s="104"/>
    </row>
    <row r="227" spans="1:16" s="74" customFormat="1" x14ac:dyDescent="0.2">
      <c r="A227" s="57" t="s">
        <v>374</v>
      </c>
      <c r="B227" s="57" t="s">
        <v>375</v>
      </c>
      <c r="C227" s="67" t="s">
        <v>58</v>
      </c>
      <c r="D227" s="67" t="s">
        <v>319</v>
      </c>
      <c r="E227" s="67">
        <v>2</v>
      </c>
      <c r="F227" s="67" t="s">
        <v>316</v>
      </c>
      <c r="G227" s="67">
        <v>2</v>
      </c>
      <c r="H227" s="67" t="s">
        <v>315</v>
      </c>
      <c r="I227" s="60"/>
      <c r="J227" s="68" t="str">
        <f t="shared" si="23"/>
        <v>CM CF P Promoter Funding</v>
      </c>
      <c r="K227" s="69" t="str">
        <f t="shared" si="24"/>
        <v>CM CF P2 Director Loan</v>
      </c>
      <c r="L227" s="70" t="str">
        <f t="shared" si="25"/>
        <v>CM CF P2-2 Director Unsecured Loan</v>
      </c>
      <c r="M227" s="71">
        <f t="shared" si="26"/>
        <v>0</v>
      </c>
      <c r="N227" s="72">
        <f t="shared" si="27"/>
        <v>0</v>
      </c>
      <c r="O227" s="73">
        <f t="shared" si="28"/>
        <v>0</v>
      </c>
      <c r="P227" s="104"/>
    </row>
    <row r="228" spans="1:16" s="74" customFormat="1" x14ac:dyDescent="0.2">
      <c r="A228" s="57" t="s">
        <v>374</v>
      </c>
      <c r="B228" s="57" t="s">
        <v>374</v>
      </c>
      <c r="C228" s="67" t="s">
        <v>30</v>
      </c>
      <c r="D228" s="67" t="s">
        <v>313</v>
      </c>
      <c r="E228" s="67">
        <v>1</v>
      </c>
      <c r="F228" s="67" t="s">
        <v>312</v>
      </c>
      <c r="G228" s="67">
        <v>1</v>
      </c>
      <c r="H228" s="67" t="s">
        <v>311</v>
      </c>
      <c r="I228" s="60"/>
      <c r="J228" s="68" t="str">
        <f t="shared" si="23"/>
        <v>CM CF Q Other Income</v>
      </c>
      <c r="K228" s="69" t="str">
        <f t="shared" si="24"/>
        <v>CM CF Q1 Interest Income</v>
      </c>
      <c r="L228" s="70" t="str">
        <f t="shared" si="25"/>
        <v>CM CF Q1-1 Bank Interest</v>
      </c>
      <c r="M228" s="71" t="str">
        <f t="shared" si="26"/>
        <v>CM PL Q Other Income</v>
      </c>
      <c r="N228" s="72" t="str">
        <f t="shared" si="27"/>
        <v>CM PL Q1 Interest Income</v>
      </c>
      <c r="O228" s="73" t="str">
        <f t="shared" si="28"/>
        <v>CM PL Q1-1 Bank Interest</v>
      </c>
      <c r="P228" s="104"/>
    </row>
    <row r="229" spans="1:16" s="74" customFormat="1" x14ac:dyDescent="0.2">
      <c r="A229" s="57" t="s">
        <v>374</v>
      </c>
      <c r="B229" s="57" t="s">
        <v>374</v>
      </c>
      <c r="C229" s="67" t="s">
        <v>30</v>
      </c>
      <c r="D229" s="67" t="s">
        <v>313</v>
      </c>
      <c r="E229" s="67">
        <v>2</v>
      </c>
      <c r="F229" s="67" t="s">
        <v>310</v>
      </c>
      <c r="G229" s="67">
        <v>2</v>
      </c>
      <c r="H229" s="67" t="s">
        <v>309</v>
      </c>
      <c r="I229" s="60"/>
      <c r="J229" s="68" t="str">
        <f t="shared" si="23"/>
        <v>CM CF Q Other Income</v>
      </c>
      <c r="K229" s="69" t="str">
        <f t="shared" si="24"/>
        <v>CM CF Q2 Misc Income</v>
      </c>
      <c r="L229" s="70" t="str">
        <f t="shared" si="25"/>
        <v>CM CF Q2-2 Other Misc Income</v>
      </c>
      <c r="M229" s="71" t="str">
        <f t="shared" si="26"/>
        <v>CM PL Q Other Income</v>
      </c>
      <c r="N229" s="72" t="str">
        <f t="shared" si="27"/>
        <v>CM PL Q2 Misc Income</v>
      </c>
      <c r="O229" s="73" t="str">
        <f t="shared" si="28"/>
        <v>CM PL Q2-2 Other Misc Income</v>
      </c>
      <c r="P229" s="104"/>
    </row>
    <row r="230" spans="1:16" s="127" customFormat="1" x14ac:dyDescent="0.2">
      <c r="A230" s="127" t="s">
        <v>374</v>
      </c>
      <c r="B230" s="127" t="s">
        <v>374</v>
      </c>
      <c r="C230" s="128" t="s">
        <v>4</v>
      </c>
      <c r="D230" s="128" t="s">
        <v>397</v>
      </c>
      <c r="E230" s="128">
        <v>1</v>
      </c>
      <c r="F230" s="128" t="s">
        <v>397</v>
      </c>
      <c r="G230" s="128">
        <v>1</v>
      </c>
      <c r="H230" s="128" t="s">
        <v>397</v>
      </c>
      <c r="I230" s="129"/>
      <c r="J230" s="130" t="str">
        <f t="shared" si="23"/>
        <v>CM CF R Suspense</v>
      </c>
      <c r="K230" s="130" t="str">
        <f t="shared" si="24"/>
        <v>CM CF R1 Suspense</v>
      </c>
      <c r="L230" s="130" t="str">
        <f t="shared" si="25"/>
        <v>CM CF R1-1 Suspense</v>
      </c>
      <c r="M230" s="131" t="str">
        <f t="shared" si="26"/>
        <v>CM PL R Suspense</v>
      </c>
      <c r="N230" s="131" t="str">
        <f t="shared" si="27"/>
        <v>CM PL R1 Suspense</v>
      </c>
      <c r="O230" s="73" t="str">
        <f t="shared" si="28"/>
        <v>CM PL R1-1 Suspense</v>
      </c>
      <c r="P230" s="132"/>
    </row>
    <row r="231" spans="1:16" s="74" customFormat="1" x14ac:dyDescent="0.2">
      <c r="A231" s="57" t="s">
        <v>374</v>
      </c>
      <c r="B231" s="57" t="s">
        <v>374</v>
      </c>
      <c r="C231" s="67" t="s">
        <v>23</v>
      </c>
      <c r="D231" s="67" t="s">
        <v>57</v>
      </c>
      <c r="E231" s="67">
        <v>1</v>
      </c>
      <c r="F231" s="67" t="s">
        <v>56</v>
      </c>
      <c r="G231" s="67">
        <v>1</v>
      </c>
      <c r="H231" s="67" t="s">
        <v>55</v>
      </c>
      <c r="I231" s="60"/>
      <c r="J231" s="68" t="str">
        <f t="shared" si="23"/>
        <v>CM CF S Regulatory &amp; Consulting</v>
      </c>
      <c r="K231" s="69" t="str">
        <f t="shared" si="24"/>
        <v>CM CF S1 Consultants</v>
      </c>
      <c r="L231" s="70" t="str">
        <f t="shared" si="25"/>
        <v>CM CF S1-1 Architect</v>
      </c>
      <c r="M231" s="71" t="str">
        <f t="shared" si="26"/>
        <v>CM PL S Regulatory &amp; Consulting</v>
      </c>
      <c r="N231" s="72" t="str">
        <f t="shared" si="27"/>
        <v>CM PL S1 Consultants</v>
      </c>
      <c r="O231" s="73" t="str">
        <f t="shared" si="28"/>
        <v>CM PL S1-1 Architect</v>
      </c>
      <c r="P231" s="104"/>
    </row>
    <row r="232" spans="1:16" s="74" customFormat="1" x14ac:dyDescent="0.2">
      <c r="A232" s="57" t="s">
        <v>374</v>
      </c>
      <c r="B232" s="57" t="s">
        <v>374</v>
      </c>
      <c r="C232" s="67" t="s">
        <v>23</v>
      </c>
      <c r="D232" s="67" t="s">
        <v>57</v>
      </c>
      <c r="E232" s="67">
        <v>1</v>
      </c>
      <c r="F232" s="67" t="s">
        <v>56</v>
      </c>
      <c r="G232" s="67">
        <f>+G231+1</f>
        <v>2</v>
      </c>
      <c r="H232" s="67" t="s">
        <v>54</v>
      </c>
      <c r="I232" s="60"/>
      <c r="J232" s="68" t="str">
        <f t="shared" si="23"/>
        <v>CM CF S Regulatory &amp; Consulting</v>
      </c>
      <c r="K232" s="69" t="str">
        <f t="shared" si="24"/>
        <v>CM CF S1 Consultants</v>
      </c>
      <c r="L232" s="70" t="str">
        <f t="shared" si="25"/>
        <v>CM CF S1-2 MEP Consultant</v>
      </c>
      <c r="M232" s="71" t="str">
        <f t="shared" si="26"/>
        <v>CM PL S Regulatory &amp; Consulting</v>
      </c>
      <c r="N232" s="72" t="str">
        <f t="shared" si="27"/>
        <v>CM PL S1 Consultants</v>
      </c>
      <c r="O232" s="73" t="str">
        <f t="shared" si="28"/>
        <v>CM PL S1-2 MEP Consultant</v>
      </c>
      <c r="P232" s="104"/>
    </row>
    <row r="233" spans="1:16" s="74" customFormat="1" x14ac:dyDescent="0.2">
      <c r="A233" s="57" t="s">
        <v>374</v>
      </c>
      <c r="B233" s="57" t="s">
        <v>374</v>
      </c>
      <c r="C233" s="67" t="s">
        <v>23</v>
      </c>
      <c r="D233" s="67" t="s">
        <v>57</v>
      </c>
      <c r="E233" s="67">
        <v>1</v>
      </c>
      <c r="F233" s="67" t="s">
        <v>56</v>
      </c>
      <c r="G233" s="67">
        <f t="shared" ref="G233:G242" si="29">+G232+1</f>
        <v>3</v>
      </c>
      <c r="H233" s="67" t="s">
        <v>53</v>
      </c>
      <c r="I233" s="60"/>
      <c r="J233" s="68" t="str">
        <f t="shared" si="23"/>
        <v>CM CF S Regulatory &amp; Consulting</v>
      </c>
      <c r="K233" s="69" t="str">
        <f t="shared" si="24"/>
        <v>CM CF S1 Consultants</v>
      </c>
      <c r="L233" s="70" t="str">
        <f t="shared" si="25"/>
        <v>CM CF S1-3 MIDC Consustant</v>
      </c>
      <c r="M233" s="71" t="str">
        <f t="shared" si="26"/>
        <v>CM PL S Regulatory &amp; Consulting</v>
      </c>
      <c r="N233" s="72" t="str">
        <f t="shared" si="27"/>
        <v>CM PL S1 Consultants</v>
      </c>
      <c r="O233" s="73" t="str">
        <f t="shared" si="28"/>
        <v>CM PL S1-3 MIDC Consustant</v>
      </c>
      <c r="P233" s="104"/>
    </row>
    <row r="234" spans="1:16" s="74" customFormat="1" x14ac:dyDescent="0.2">
      <c r="A234" s="57" t="s">
        <v>374</v>
      </c>
      <c r="B234" s="57" t="s">
        <v>374</v>
      </c>
      <c r="C234" s="67" t="s">
        <v>23</v>
      </c>
      <c r="D234" s="67" t="s">
        <v>57</v>
      </c>
      <c r="E234" s="67">
        <v>1</v>
      </c>
      <c r="F234" s="67" t="s">
        <v>56</v>
      </c>
      <c r="G234" s="67">
        <f t="shared" si="29"/>
        <v>4</v>
      </c>
      <c r="H234" s="67" t="s">
        <v>52</v>
      </c>
      <c r="I234" s="60"/>
      <c r="J234" s="68" t="str">
        <f t="shared" si="23"/>
        <v>CM CF S Regulatory &amp; Consulting</v>
      </c>
      <c r="K234" s="69" t="str">
        <f t="shared" si="24"/>
        <v>CM CF S1 Consultants</v>
      </c>
      <c r="L234" s="70" t="str">
        <f t="shared" si="25"/>
        <v>CM CF S1-4 RCC Consultant</v>
      </c>
      <c r="M234" s="71" t="str">
        <f t="shared" si="26"/>
        <v>CM PL S Regulatory &amp; Consulting</v>
      </c>
      <c r="N234" s="72" t="str">
        <f t="shared" si="27"/>
        <v>CM PL S1 Consultants</v>
      </c>
      <c r="O234" s="73" t="str">
        <f t="shared" si="28"/>
        <v>CM PL S1-4 RCC Consultant</v>
      </c>
      <c r="P234" s="104"/>
    </row>
    <row r="235" spans="1:16" s="74" customFormat="1" x14ac:dyDescent="0.2">
      <c r="A235" s="57" t="s">
        <v>374</v>
      </c>
      <c r="B235" s="57" t="s">
        <v>374</v>
      </c>
      <c r="C235" s="67" t="s">
        <v>23</v>
      </c>
      <c r="D235" s="67" t="s">
        <v>57</v>
      </c>
      <c r="E235" s="67">
        <v>1</v>
      </c>
      <c r="F235" s="67" t="s">
        <v>56</v>
      </c>
      <c r="G235" s="67">
        <f t="shared" si="29"/>
        <v>5</v>
      </c>
      <c r="H235" s="67" t="s">
        <v>51</v>
      </c>
      <c r="I235" s="60"/>
      <c r="J235" s="68" t="str">
        <f t="shared" si="23"/>
        <v>CM CF S Regulatory &amp; Consulting</v>
      </c>
      <c r="K235" s="69" t="str">
        <f t="shared" si="24"/>
        <v>CM CF S1 Consultants</v>
      </c>
      <c r="L235" s="70" t="str">
        <f t="shared" si="25"/>
        <v>CM CF S1-5 EC Consultant</v>
      </c>
      <c r="M235" s="71" t="str">
        <f t="shared" si="26"/>
        <v>CM PL S Regulatory &amp; Consulting</v>
      </c>
      <c r="N235" s="72" t="str">
        <f t="shared" si="27"/>
        <v>CM PL S1 Consultants</v>
      </c>
      <c r="O235" s="73" t="str">
        <f t="shared" si="28"/>
        <v>CM PL S1-5 EC Consultant</v>
      </c>
      <c r="P235" s="104"/>
    </row>
    <row r="236" spans="1:16" s="74" customFormat="1" x14ac:dyDescent="0.2">
      <c r="A236" s="57" t="s">
        <v>374</v>
      </c>
      <c r="B236" s="57" t="s">
        <v>374</v>
      </c>
      <c r="C236" s="67" t="s">
        <v>23</v>
      </c>
      <c r="D236" s="67" t="s">
        <v>57</v>
      </c>
      <c r="E236" s="67">
        <v>1</v>
      </c>
      <c r="F236" s="67" t="s">
        <v>56</v>
      </c>
      <c r="G236" s="67">
        <f t="shared" si="29"/>
        <v>6</v>
      </c>
      <c r="H236" s="67" t="s">
        <v>50</v>
      </c>
      <c r="I236" s="60"/>
      <c r="J236" s="68" t="str">
        <f t="shared" si="23"/>
        <v>CM CF S Regulatory &amp; Consulting</v>
      </c>
      <c r="K236" s="69" t="str">
        <f t="shared" si="24"/>
        <v>CM CF S1 Consultants</v>
      </c>
      <c r="L236" s="70" t="str">
        <f t="shared" si="25"/>
        <v>CM CF S1-6 Land Broker</v>
      </c>
      <c r="M236" s="71" t="str">
        <f t="shared" si="26"/>
        <v>CM PL S Regulatory &amp; Consulting</v>
      </c>
      <c r="N236" s="72" t="str">
        <f t="shared" si="27"/>
        <v>CM PL S1 Consultants</v>
      </c>
      <c r="O236" s="73" t="str">
        <f t="shared" si="28"/>
        <v>CM PL S1-6 Land Broker</v>
      </c>
      <c r="P236" s="104"/>
    </row>
    <row r="237" spans="1:16" s="74" customFormat="1" x14ac:dyDescent="0.2">
      <c r="A237" s="57" t="s">
        <v>374</v>
      </c>
      <c r="B237" s="57" t="s">
        <v>374</v>
      </c>
      <c r="C237" s="67" t="s">
        <v>23</v>
      </c>
      <c r="D237" s="67" t="s">
        <v>57</v>
      </c>
      <c r="E237" s="67">
        <v>1</v>
      </c>
      <c r="F237" s="67" t="s">
        <v>56</v>
      </c>
      <c r="G237" s="67">
        <f t="shared" si="29"/>
        <v>7</v>
      </c>
      <c r="H237" s="67" t="s">
        <v>49</v>
      </c>
      <c r="I237" s="60"/>
      <c r="J237" s="68" t="str">
        <f t="shared" si="23"/>
        <v>CM CF S Regulatory &amp; Consulting</v>
      </c>
      <c r="K237" s="69" t="str">
        <f t="shared" si="24"/>
        <v>CM CF S1 Consultants</v>
      </c>
      <c r="L237" s="70" t="str">
        <f t="shared" si="25"/>
        <v>CM CF S1-7 Landscape Consultant</v>
      </c>
      <c r="M237" s="71" t="str">
        <f t="shared" si="26"/>
        <v>CM PL S Regulatory &amp; Consulting</v>
      </c>
      <c r="N237" s="72" t="str">
        <f t="shared" si="27"/>
        <v>CM PL S1 Consultants</v>
      </c>
      <c r="O237" s="73" t="str">
        <f t="shared" si="28"/>
        <v>CM PL S1-7 Landscape Consultant</v>
      </c>
      <c r="P237" s="104"/>
    </row>
    <row r="238" spans="1:16" s="74" customFormat="1" x14ac:dyDescent="0.2">
      <c r="A238" s="57" t="s">
        <v>374</v>
      </c>
      <c r="B238" s="57" t="s">
        <v>374</v>
      </c>
      <c r="C238" s="67" t="s">
        <v>23</v>
      </c>
      <c r="D238" s="67" t="s">
        <v>57</v>
      </c>
      <c r="E238" s="67">
        <v>1</v>
      </c>
      <c r="F238" s="67" t="s">
        <v>56</v>
      </c>
      <c r="G238" s="67">
        <f t="shared" si="29"/>
        <v>8</v>
      </c>
      <c r="H238" s="67" t="s">
        <v>48</v>
      </c>
      <c r="I238" s="60"/>
      <c r="J238" s="68" t="str">
        <f t="shared" si="23"/>
        <v>CM CF S Regulatory &amp; Consulting</v>
      </c>
      <c r="K238" s="69" t="str">
        <f t="shared" si="24"/>
        <v>CM CF S1 Consultants</v>
      </c>
      <c r="L238" s="70" t="str">
        <f t="shared" si="25"/>
        <v>CM CF S1-8 Structural Consultant</v>
      </c>
      <c r="M238" s="71" t="str">
        <f t="shared" si="26"/>
        <v>CM PL S Regulatory &amp; Consulting</v>
      </c>
      <c r="N238" s="72" t="str">
        <f t="shared" si="27"/>
        <v>CM PL S1 Consultants</v>
      </c>
      <c r="O238" s="73" t="str">
        <f t="shared" si="28"/>
        <v>CM PL S1-8 Structural Consultant</v>
      </c>
      <c r="P238" s="104"/>
    </row>
    <row r="239" spans="1:16" s="74" customFormat="1" x14ac:dyDescent="0.2">
      <c r="A239" s="57" t="s">
        <v>374</v>
      </c>
      <c r="B239" s="57" t="s">
        <v>374</v>
      </c>
      <c r="C239" s="67" t="s">
        <v>23</v>
      </c>
      <c r="D239" s="67" t="s">
        <v>57</v>
      </c>
      <c r="E239" s="67">
        <v>1</v>
      </c>
      <c r="F239" s="67" t="s">
        <v>56</v>
      </c>
      <c r="G239" s="67">
        <f t="shared" si="29"/>
        <v>9</v>
      </c>
      <c r="H239" s="67" t="s">
        <v>47</v>
      </c>
      <c r="I239" s="60"/>
      <c r="J239" s="68" t="str">
        <f t="shared" si="23"/>
        <v>CM CF S Regulatory &amp; Consulting</v>
      </c>
      <c r="K239" s="69" t="str">
        <f t="shared" si="24"/>
        <v>CM CF S1 Consultants</v>
      </c>
      <c r="L239" s="70" t="str">
        <f t="shared" si="25"/>
        <v>CM CF S1-9 Legal Consultant</v>
      </c>
      <c r="M239" s="71" t="str">
        <f t="shared" si="26"/>
        <v>CM PL S Regulatory &amp; Consulting</v>
      </c>
      <c r="N239" s="72" t="str">
        <f t="shared" si="27"/>
        <v>CM PL S1 Consultants</v>
      </c>
      <c r="O239" s="73" t="str">
        <f t="shared" si="28"/>
        <v>CM PL S1-9 Legal Consultant</v>
      </c>
      <c r="P239" s="104"/>
    </row>
    <row r="240" spans="1:16" s="74" customFormat="1" x14ac:dyDescent="0.2">
      <c r="A240" s="57" t="s">
        <v>374</v>
      </c>
      <c r="B240" s="57" t="s">
        <v>374</v>
      </c>
      <c r="C240" s="67" t="s">
        <v>23</v>
      </c>
      <c r="D240" s="67" t="s">
        <v>57</v>
      </c>
      <c r="E240" s="67">
        <v>1</v>
      </c>
      <c r="F240" s="67" t="s">
        <v>56</v>
      </c>
      <c r="G240" s="67">
        <f t="shared" si="29"/>
        <v>10</v>
      </c>
      <c r="H240" s="67" t="s">
        <v>46</v>
      </c>
      <c r="I240" s="60"/>
      <c r="J240" s="68" t="str">
        <f t="shared" si="23"/>
        <v>CM CF S Regulatory &amp; Consulting</v>
      </c>
      <c r="K240" s="69" t="str">
        <f t="shared" si="24"/>
        <v>CM CF S1 Consultants</v>
      </c>
      <c r="L240" s="70" t="str">
        <f t="shared" si="25"/>
        <v>CM CF S1-10 Survayer</v>
      </c>
      <c r="M240" s="71" t="str">
        <f t="shared" si="26"/>
        <v>CM PL S Regulatory &amp; Consulting</v>
      </c>
      <c r="N240" s="72" t="str">
        <f t="shared" si="27"/>
        <v>CM PL S1 Consultants</v>
      </c>
      <c r="O240" s="73" t="str">
        <f t="shared" si="28"/>
        <v>CM PL S1-10 Survayer</v>
      </c>
      <c r="P240" s="104"/>
    </row>
    <row r="241" spans="1:16" s="74" customFormat="1" x14ac:dyDescent="0.2">
      <c r="A241" s="57" t="s">
        <v>374</v>
      </c>
      <c r="B241" s="57" t="s">
        <v>374</v>
      </c>
      <c r="C241" s="67" t="s">
        <v>23</v>
      </c>
      <c r="D241" s="67" t="s">
        <v>57</v>
      </c>
      <c r="E241" s="67">
        <v>1</v>
      </c>
      <c r="F241" s="67" t="s">
        <v>56</v>
      </c>
      <c r="G241" s="67">
        <f t="shared" si="29"/>
        <v>11</v>
      </c>
      <c r="H241" s="67" t="s">
        <v>390</v>
      </c>
      <c r="I241" s="60"/>
      <c r="J241" s="68" t="str">
        <f t="shared" si="23"/>
        <v>CM CF S Regulatory &amp; Consulting</v>
      </c>
      <c r="K241" s="69" t="str">
        <f t="shared" si="24"/>
        <v>CM CF S1 Consultants</v>
      </c>
      <c r="L241" s="70" t="str">
        <f t="shared" si="25"/>
        <v>CM CF S1-11 Professiona Fees -CA</v>
      </c>
      <c r="M241" s="71" t="str">
        <f t="shared" si="26"/>
        <v>CM PL S Regulatory &amp; Consulting</v>
      </c>
      <c r="N241" s="72" t="str">
        <f t="shared" ref="N241" si="30">IF(M241=0,0,IF(ISBLANK($F241)=FALSE,CONCATENATE(,$C$2," ",$M$2," ",$C241,$E241," ",$F241),0))</f>
        <v>CM PL S1 Consultants</v>
      </c>
      <c r="O241" s="73" t="str">
        <f t="shared" ref="O241" si="31">IF(N241=0,0,IF(ISBLANK($F241)=FALSE,CONCATENATE(,$C$2," ",$M$2," ",$C241,$E241,,"-",$G241,," ",$H241),0))</f>
        <v>CM PL S1-11 Professiona Fees -CA</v>
      </c>
      <c r="P241" s="104"/>
    </row>
    <row r="242" spans="1:16" s="74" customFormat="1" x14ac:dyDescent="0.2">
      <c r="A242" s="57" t="s">
        <v>374</v>
      </c>
      <c r="B242" s="57" t="s">
        <v>374</v>
      </c>
      <c r="C242" s="67" t="s">
        <v>23</v>
      </c>
      <c r="D242" s="67" t="s">
        <v>57</v>
      </c>
      <c r="E242" s="67">
        <v>1</v>
      </c>
      <c r="F242" s="67" t="s">
        <v>56</v>
      </c>
      <c r="G242" s="67">
        <f t="shared" si="29"/>
        <v>12</v>
      </c>
      <c r="H242" s="67" t="s">
        <v>398</v>
      </c>
      <c r="I242" s="60"/>
      <c r="J242" s="68" t="str">
        <f t="shared" si="23"/>
        <v>CM CF S Regulatory &amp; Consulting</v>
      </c>
      <c r="K242" s="69" t="str">
        <f t="shared" si="24"/>
        <v>CM CF S1 Consultants</v>
      </c>
      <c r="L242" s="70" t="str">
        <f t="shared" si="25"/>
        <v>CM CF S1-12 BOQ Consultant</v>
      </c>
      <c r="M242" s="71" t="str">
        <f t="shared" si="26"/>
        <v>CM PL S Regulatory &amp; Consulting</v>
      </c>
      <c r="N242" s="72" t="str">
        <f t="shared" si="27"/>
        <v>CM PL S1 Consultants</v>
      </c>
      <c r="O242" s="73" t="str">
        <f t="shared" si="28"/>
        <v>CM PL S1-12 BOQ Consultant</v>
      </c>
      <c r="P242" s="104"/>
    </row>
    <row r="243" spans="1:16" s="74" customFormat="1" x14ac:dyDescent="0.2">
      <c r="A243" s="57" t="s">
        <v>374</v>
      </c>
      <c r="B243" s="57" t="s">
        <v>374</v>
      </c>
      <c r="C243" s="67" t="s">
        <v>19</v>
      </c>
      <c r="D243" s="67" t="s">
        <v>428</v>
      </c>
      <c r="E243" s="67">
        <v>1</v>
      </c>
      <c r="F243" s="67" t="s">
        <v>106</v>
      </c>
      <c r="G243" s="67">
        <v>1</v>
      </c>
      <c r="H243" s="67" t="s">
        <v>429</v>
      </c>
      <c r="I243" s="60"/>
      <c r="J243" s="68" t="str">
        <f>IF($A243="No",0,IF(ISBLANK($D243)=FALSE,CONCATENATE(,$C$2," ",$J$2," ",$C243," ",$D243),0))</f>
        <v>CM CF T Club House</v>
      </c>
      <c r="K243" s="69" t="str">
        <f>IF($J243=0,0,IF(ISBLANK($F243)=FALSE,CONCATENATE(,$C$2," ",$J$2," ",$C243,$E243," ",$F243),0))</f>
        <v>CM CF T1 Marble/Granite</v>
      </c>
      <c r="L243" s="70" t="str">
        <f>IF($K243=0,0,IF(ISBLANK($F243)=FALSE,CONCATENATE(,$C$2," ",$J$2," ",$C243,$E243,,"-",$G243,," ",$H243),0))</f>
        <v>CM CF T1-1 Marble/Granite Material</v>
      </c>
      <c r="M243" s="71" t="str">
        <f>IF($B243="No",0,IF(ISBLANK($D243)=FALSE,CONCATENATE(,$C$2," ",$M$2," ",$C243," ",$D243),0))</f>
        <v>CM PL T Club House</v>
      </c>
      <c r="N243" s="72" t="str">
        <f>IF(M243=0,0,IF(ISBLANK($F243)=FALSE,CONCATENATE(,$C$2," ",$M$2," ",$C243,$E243," ",$F243),0))</f>
        <v>CM PL T1 Marble/Granite</v>
      </c>
      <c r="O243" s="73" t="str">
        <f>IF(N243=0,0,IF(ISBLANK($F243)=FALSE,CONCATENATE(,$C$2," ",$M$2," ",$C243,$E243,,"-",$G243,," ",$H243),0))</f>
        <v>CM PL T1-1 Marble/Granite Material</v>
      </c>
      <c r="P243" s="104"/>
    </row>
    <row r="244" spans="1:16" s="74" customFormat="1" x14ac:dyDescent="0.2">
      <c r="A244" s="57" t="s">
        <v>374</v>
      </c>
      <c r="B244" s="57" t="s">
        <v>374</v>
      </c>
      <c r="C244" s="67" t="s">
        <v>19</v>
      </c>
      <c r="D244" s="67" t="s">
        <v>428</v>
      </c>
      <c r="E244" s="67">
        <v>2</v>
      </c>
      <c r="F244" s="67" t="s">
        <v>152</v>
      </c>
      <c r="G244" s="67">
        <v>1</v>
      </c>
      <c r="H244" s="67" t="s">
        <v>150</v>
      </c>
      <c r="I244" s="60"/>
      <c r="J244" s="68" t="str">
        <f>IF($A244="No",0,IF(ISBLANK($D244)=FALSE,CONCATENATE(,$C$2," ",$J$2," ",$C244," ",$D244),0))</f>
        <v>CM CF T Club House</v>
      </c>
      <c r="K244" s="69" t="str">
        <f>IF($J244=0,0,IF(ISBLANK($F244)=FALSE,CONCATENATE(,$C$2," ",$J$2," ",$C244,$E244," ",$F244),0))</f>
        <v>CM CF T2 Fabrication</v>
      </c>
      <c r="L244" s="70" t="str">
        <f>IF($K244=0,0,IF(ISBLANK($F244)=FALSE,CONCATENATE(,$C$2," ",$J$2," ",$C244,$E244,,"-",$G244,," ",$H244),0))</f>
        <v>CM CF T2-1 Fabrication Work</v>
      </c>
      <c r="M244" s="71" t="str">
        <f>IF($B244="No",0,IF(ISBLANK($D244)=FALSE,CONCATENATE(,$C$2," ",$M$2," ",$C244," ",$D244),0))</f>
        <v>CM PL T Club House</v>
      </c>
      <c r="N244" s="72" t="str">
        <f>IF(M244=0,0,IF(ISBLANK($F244)=FALSE,CONCATENATE(,$C$2," ",$M$2," ",$C244,$E244," ",$F244),0))</f>
        <v>CM PL T2 Fabrication</v>
      </c>
      <c r="O244" s="73" t="str">
        <f>IF(N244=0,0,IF(ISBLANK($F244)=FALSE,CONCATENATE(,$C$2," ",$M$2," ",$C244,$E244,,"-",$G244,," ",$H244),0))</f>
        <v>CM PL T2-1 Fabrication Work</v>
      </c>
      <c r="P244" s="104"/>
    </row>
    <row r="245" spans="1:16" x14ac:dyDescent="0.2">
      <c r="C245" s="50"/>
      <c r="D245" s="50"/>
      <c r="E245" s="50"/>
      <c r="F245" s="50"/>
      <c r="G245" s="50"/>
      <c r="H245" s="50"/>
      <c r="J245" s="37"/>
      <c r="K245" s="38"/>
      <c r="L245" s="39"/>
      <c r="M245" s="33"/>
      <c r="N245" s="34"/>
      <c r="O245" s="35"/>
    </row>
    <row r="246" spans="1:16" x14ac:dyDescent="0.2">
      <c r="C246" s="50"/>
      <c r="D246" s="50"/>
      <c r="E246" s="50"/>
      <c r="F246" s="50"/>
      <c r="G246" s="50"/>
      <c r="H246" s="50"/>
      <c r="J246" s="37"/>
      <c r="K246" s="38"/>
      <c r="L246" s="39"/>
      <c r="M246" s="33"/>
      <c r="N246" s="34"/>
      <c r="O246" s="35"/>
    </row>
    <row r="247" spans="1:16" x14ac:dyDescent="0.2">
      <c r="C247" s="50"/>
      <c r="D247" s="50"/>
      <c r="E247" s="50"/>
      <c r="F247" s="50"/>
      <c r="G247" s="50"/>
      <c r="H247" s="50"/>
      <c r="J247" s="37"/>
      <c r="K247" s="38"/>
      <c r="L247" s="39"/>
      <c r="M247" s="33"/>
      <c r="N247" s="34"/>
      <c r="O247" s="35"/>
    </row>
    <row r="248" spans="1:16" x14ac:dyDescent="0.2">
      <c r="C248" s="50"/>
      <c r="D248" s="50"/>
      <c r="E248" s="50"/>
      <c r="F248" s="50"/>
      <c r="G248" s="50"/>
      <c r="H248" s="50"/>
      <c r="J248" s="37"/>
      <c r="K248" s="38"/>
      <c r="L248" s="39"/>
      <c r="M248" s="33"/>
      <c r="N248" s="34"/>
      <c r="O248" s="35"/>
    </row>
    <row r="249" spans="1:16" x14ac:dyDescent="0.2">
      <c r="C249" s="50"/>
      <c r="D249" s="50"/>
      <c r="E249" s="50"/>
      <c r="F249" s="50"/>
      <c r="G249" s="50"/>
      <c r="H249" s="50"/>
      <c r="J249" s="37"/>
      <c r="K249" s="38"/>
      <c r="L249" s="39"/>
      <c r="M249" s="33"/>
      <c r="N249" s="34"/>
      <c r="O249" s="35"/>
    </row>
    <row r="250" spans="1:16" x14ac:dyDescent="0.2">
      <c r="C250" s="50"/>
      <c r="D250" s="50"/>
      <c r="E250" s="50"/>
      <c r="F250" s="50"/>
      <c r="G250" s="50"/>
      <c r="H250" s="50"/>
      <c r="J250" s="37"/>
      <c r="K250" s="38"/>
      <c r="L250" s="39"/>
      <c r="M250" s="33"/>
      <c r="N250" s="34"/>
      <c r="O250" s="35"/>
    </row>
    <row r="251" spans="1:16" x14ac:dyDescent="0.2">
      <c r="C251" s="50"/>
      <c r="D251" s="50"/>
      <c r="E251" s="50"/>
      <c r="F251" s="50"/>
      <c r="G251" s="50"/>
      <c r="H251" s="50"/>
      <c r="J251" s="37"/>
      <c r="K251" s="38"/>
      <c r="L251" s="39"/>
      <c r="M251" s="33"/>
      <c r="N251" s="34"/>
      <c r="O251" s="35"/>
    </row>
    <row r="252" spans="1:16" x14ac:dyDescent="0.2">
      <c r="C252" s="50"/>
      <c r="D252" s="50"/>
      <c r="E252" s="50"/>
      <c r="F252" s="50"/>
      <c r="G252" s="50"/>
      <c r="H252" s="50"/>
      <c r="J252" s="37"/>
      <c r="K252" s="38"/>
      <c r="L252" s="39"/>
      <c r="M252" s="33"/>
      <c r="N252" s="34"/>
      <c r="O252" s="35"/>
    </row>
    <row r="253" spans="1:16" ht="19" x14ac:dyDescent="0.25">
      <c r="A253" s="160" t="s">
        <v>466</v>
      </c>
      <c r="B253" s="161"/>
      <c r="C253" s="161"/>
      <c r="D253" s="161"/>
      <c r="E253" s="161"/>
      <c r="F253" s="161"/>
      <c r="G253" s="161"/>
      <c r="H253" s="161"/>
      <c r="I253" s="162"/>
      <c r="J253" s="37"/>
      <c r="K253" s="38"/>
      <c r="L253" s="39"/>
      <c r="M253" s="33"/>
      <c r="N253" s="34"/>
      <c r="O253" s="35"/>
    </row>
    <row r="254" spans="1:16" ht="19" x14ac:dyDescent="0.25">
      <c r="A254" s="78"/>
      <c r="B254" s="163" t="s">
        <v>468</v>
      </c>
      <c r="C254" s="163"/>
      <c r="D254" s="163"/>
      <c r="E254" s="163"/>
      <c r="F254" s="163"/>
      <c r="G254" s="163"/>
      <c r="H254" s="163"/>
      <c r="I254" s="79"/>
      <c r="J254" s="37"/>
      <c r="K254" s="38"/>
      <c r="L254" s="39"/>
      <c r="M254" s="33"/>
      <c r="N254" s="34"/>
      <c r="O254" s="35"/>
    </row>
    <row r="255" spans="1:16" ht="20" thickBot="1" x14ac:dyDescent="0.3">
      <c r="A255" s="78"/>
      <c r="B255" s="163" t="s">
        <v>469</v>
      </c>
      <c r="C255" s="163"/>
      <c r="D255" s="163"/>
      <c r="E255" s="163"/>
      <c r="F255" s="163"/>
      <c r="G255" s="163"/>
      <c r="H255" s="163"/>
      <c r="I255" s="79"/>
      <c r="J255" s="37"/>
      <c r="K255" s="38"/>
      <c r="L255" s="39"/>
      <c r="M255" s="33"/>
      <c r="N255" s="34"/>
      <c r="O255" s="35"/>
    </row>
    <row r="256" spans="1:16" s="81" customFormat="1" x14ac:dyDescent="0.2">
      <c r="A256" s="80" t="s">
        <v>374</v>
      </c>
      <c r="B256" s="81" t="s">
        <v>375</v>
      </c>
      <c r="C256" s="82" t="s">
        <v>379</v>
      </c>
      <c r="D256" s="82" t="s">
        <v>452</v>
      </c>
      <c r="E256" s="82">
        <v>1</v>
      </c>
      <c r="F256" s="82" t="s">
        <v>453</v>
      </c>
      <c r="G256" s="82">
        <v>1</v>
      </c>
      <c r="H256" s="82" t="s">
        <v>18</v>
      </c>
      <c r="I256" s="83"/>
      <c r="J256" s="105" t="str">
        <f>IF($A256="No",0,IF(ISBLANK($D256)=FALSE,CONCATENATE($J$2," ",$C256," ",$D256),0))</f>
        <v>CF Z Cash &amp; Cash Equivalents</v>
      </c>
      <c r="K256" s="105" t="str">
        <f>IF($J256=0,0,IF(ISBLANK($F256)=FALSE,CONCATENATE($J$2," ",$C256,$E256," ",$F256),0))</f>
        <v>CF Z1 Bank A/c</v>
      </c>
      <c r="L256" s="105" t="str">
        <f>IF($K256=0,0,IF(ISBLANK($F256)=FALSE,CONCATENATE($J$2," ",$C256,$E256,,"-",$G256,," ",$H256),0))</f>
        <v>CF Z1-1 ICICI BANK A/C- 026305008761</v>
      </c>
      <c r="M256" s="106">
        <f t="shared" si="26"/>
        <v>0</v>
      </c>
      <c r="N256" s="106">
        <f t="shared" ref="N256:N269" si="32">IF(M256=0,0,IF(ISBLANK($F256)=FALSE,CONCATENATE(,$C$2," ",$M$2," ",$C256,$E256," ",$F256),0))</f>
        <v>0</v>
      </c>
      <c r="O256" s="107">
        <f t="shared" ref="O256:O269" si="33">IF(N256=0,0,IF(ISBLANK($F256)=FALSE,CONCATENATE(,$C$2," ",$M$2," ",$C256,$E256,,"-",$G256,," ",$H256),0))</f>
        <v>0</v>
      </c>
      <c r="P256" s="108"/>
    </row>
    <row r="257" spans="1:16" s="85" customFormat="1" x14ac:dyDescent="0.2">
      <c r="A257" s="84" t="s">
        <v>374</v>
      </c>
      <c r="B257" s="85" t="s">
        <v>375</v>
      </c>
      <c r="C257" s="76" t="s">
        <v>379</v>
      </c>
      <c r="D257" s="76" t="s">
        <v>452</v>
      </c>
      <c r="E257" s="76">
        <v>1</v>
      </c>
      <c r="F257" s="76" t="s">
        <v>453</v>
      </c>
      <c r="G257" s="76">
        <v>2</v>
      </c>
      <c r="H257" s="76" t="s">
        <v>14</v>
      </c>
      <c r="I257" s="77"/>
      <c r="J257" s="109" t="str">
        <f t="shared" ref="J257:J261" si="34">IF($A257="No",0,IF(ISBLANK($D257)=FALSE,CONCATENATE($J$2," ",$C257," ",$D257),0))</f>
        <v>CF Z Cash &amp; Cash Equivalents</v>
      </c>
      <c r="K257" s="109" t="str">
        <f t="shared" ref="K257:K261" si="35">IF($J257=0,0,IF(ISBLANK($F257)=FALSE,CONCATENATE($J$2," ",$C257,$E257," ",$F257),0))</f>
        <v>CF Z1 Bank A/c</v>
      </c>
      <c r="L257" s="109" t="str">
        <f t="shared" ref="L257:L261" si="36">IF($K257=0,0,IF(ISBLANK($F257)=FALSE,CONCATENATE($J$2," ",$C257,$E257,,"-",$G257,," ",$H257),0))</f>
        <v>CF Z1-2 Kotak COLLECTION AC--0550151702</v>
      </c>
      <c r="M257" s="110">
        <f t="shared" si="26"/>
        <v>0</v>
      </c>
      <c r="N257" s="110">
        <f t="shared" si="32"/>
        <v>0</v>
      </c>
      <c r="O257" s="111">
        <f t="shared" si="33"/>
        <v>0</v>
      </c>
      <c r="P257" s="112"/>
    </row>
    <row r="258" spans="1:16" s="85" customFormat="1" x14ac:dyDescent="0.2">
      <c r="A258" s="84" t="s">
        <v>374</v>
      </c>
      <c r="B258" s="85" t="s">
        <v>375</v>
      </c>
      <c r="C258" s="76" t="s">
        <v>379</v>
      </c>
      <c r="D258" s="76" t="s">
        <v>452</v>
      </c>
      <c r="E258" s="76">
        <v>1</v>
      </c>
      <c r="F258" s="76" t="s">
        <v>453</v>
      </c>
      <c r="G258" s="76">
        <v>3</v>
      </c>
      <c r="H258" s="76" t="s">
        <v>17</v>
      </c>
      <c r="I258" s="77"/>
      <c r="J258" s="109" t="str">
        <f t="shared" si="34"/>
        <v>CF Z Cash &amp; Cash Equivalents</v>
      </c>
      <c r="K258" s="109" t="str">
        <f t="shared" si="35"/>
        <v>CF Z1 Bank A/c</v>
      </c>
      <c r="L258" s="109" t="str">
        <f t="shared" si="36"/>
        <v>CF Z1-3 Kotak Mahindra Bank A/c- 0549232672</v>
      </c>
      <c r="M258" s="110">
        <f t="shared" si="26"/>
        <v>0</v>
      </c>
      <c r="N258" s="110">
        <f t="shared" si="32"/>
        <v>0</v>
      </c>
      <c r="O258" s="111">
        <f t="shared" si="33"/>
        <v>0</v>
      </c>
      <c r="P258" s="112"/>
    </row>
    <row r="259" spans="1:16" s="85" customFormat="1" x14ac:dyDescent="0.2">
      <c r="A259" s="84" t="s">
        <v>374</v>
      </c>
      <c r="B259" s="85" t="s">
        <v>375</v>
      </c>
      <c r="C259" s="76" t="s">
        <v>379</v>
      </c>
      <c r="D259" s="76" t="s">
        <v>452</v>
      </c>
      <c r="E259" s="76">
        <v>1</v>
      </c>
      <c r="F259" s="76" t="s">
        <v>453</v>
      </c>
      <c r="G259" s="76">
        <v>4</v>
      </c>
      <c r="H259" s="76" t="s">
        <v>16</v>
      </c>
      <c r="I259" s="77"/>
      <c r="J259" s="109" t="str">
        <f t="shared" si="34"/>
        <v>CF Z Cash &amp; Cash Equivalents</v>
      </c>
      <c r="K259" s="109" t="str">
        <f t="shared" si="35"/>
        <v>CF Z1 Bank A/c</v>
      </c>
      <c r="L259" s="109" t="str">
        <f t="shared" si="36"/>
        <v>CF Z1-4 Kotak Main Operation Ac--0550151689</v>
      </c>
      <c r="M259" s="110">
        <f t="shared" si="26"/>
        <v>0</v>
      </c>
      <c r="N259" s="110">
        <f t="shared" si="32"/>
        <v>0</v>
      </c>
      <c r="O259" s="111">
        <f t="shared" si="33"/>
        <v>0</v>
      </c>
      <c r="P259" s="112"/>
    </row>
    <row r="260" spans="1:16" s="85" customFormat="1" x14ac:dyDescent="0.2">
      <c r="A260" s="84" t="s">
        <v>374</v>
      </c>
      <c r="B260" s="85" t="s">
        <v>375</v>
      </c>
      <c r="C260" s="76" t="s">
        <v>379</v>
      </c>
      <c r="D260" s="76" t="s">
        <v>452</v>
      </c>
      <c r="E260" s="76">
        <v>1</v>
      </c>
      <c r="F260" s="76" t="s">
        <v>453</v>
      </c>
      <c r="G260" s="76">
        <v>5</v>
      </c>
      <c r="H260" s="76" t="s">
        <v>15</v>
      </c>
      <c r="I260" s="77"/>
      <c r="J260" s="109" t="str">
        <f t="shared" si="34"/>
        <v>CF Z Cash &amp; Cash Equivalents</v>
      </c>
      <c r="K260" s="109" t="str">
        <f t="shared" si="35"/>
        <v>CF Z1 Bank A/c</v>
      </c>
      <c r="L260" s="109" t="str">
        <f t="shared" si="36"/>
        <v>CF Z1-5 Kotak RERA AC---0550151719</v>
      </c>
      <c r="M260" s="110">
        <f t="shared" si="26"/>
        <v>0</v>
      </c>
      <c r="N260" s="110">
        <f t="shared" si="32"/>
        <v>0</v>
      </c>
      <c r="O260" s="111">
        <f t="shared" si="33"/>
        <v>0</v>
      </c>
      <c r="P260" s="112"/>
    </row>
    <row r="261" spans="1:16" s="85" customFormat="1" x14ac:dyDescent="0.2">
      <c r="A261" s="84" t="s">
        <v>374</v>
      </c>
      <c r="B261" s="85" t="s">
        <v>375</v>
      </c>
      <c r="C261" s="76" t="s">
        <v>379</v>
      </c>
      <c r="D261" s="76" t="s">
        <v>452</v>
      </c>
      <c r="E261" s="76">
        <v>2</v>
      </c>
      <c r="F261" s="76" t="s">
        <v>454</v>
      </c>
      <c r="G261" s="76">
        <v>1</v>
      </c>
      <c r="H261" s="76" t="s">
        <v>455</v>
      </c>
      <c r="I261" s="77"/>
      <c r="J261" s="109" t="str">
        <f t="shared" si="34"/>
        <v>CF Z Cash &amp; Cash Equivalents</v>
      </c>
      <c r="K261" s="109" t="str">
        <f t="shared" si="35"/>
        <v>CF Z2 FD A/c</v>
      </c>
      <c r="L261" s="109" t="str">
        <f t="shared" si="36"/>
        <v>CF Z2-1 Autosweep FD- KOtak Bank</v>
      </c>
      <c r="M261" s="110">
        <f t="shared" si="26"/>
        <v>0</v>
      </c>
      <c r="N261" s="110">
        <f t="shared" si="32"/>
        <v>0</v>
      </c>
      <c r="O261" s="111">
        <f t="shared" si="33"/>
        <v>0</v>
      </c>
      <c r="P261" s="112"/>
    </row>
    <row r="262" spans="1:16" s="85" customFormat="1" x14ac:dyDescent="0.2">
      <c r="A262" s="84" t="s">
        <v>374</v>
      </c>
      <c r="B262" s="85" t="s">
        <v>375</v>
      </c>
      <c r="C262" s="76" t="s">
        <v>379</v>
      </c>
      <c r="D262" s="76" t="s">
        <v>452</v>
      </c>
      <c r="E262" s="76">
        <v>3</v>
      </c>
      <c r="F262" s="76" t="s">
        <v>467</v>
      </c>
      <c r="G262" s="76">
        <v>1</v>
      </c>
      <c r="H262" s="76" t="s">
        <v>467</v>
      </c>
      <c r="I262" s="77"/>
      <c r="J262" s="109" t="str">
        <f t="shared" si="23"/>
        <v>CM CF Z Cash &amp; Cash Equivalents</v>
      </c>
      <c r="K262" s="109" t="str">
        <f t="shared" si="24"/>
        <v>CM CF Z3 Cash A/c</v>
      </c>
      <c r="L262" s="109" t="str">
        <f t="shared" si="25"/>
        <v>CM CF Z3-1 Cash A/c</v>
      </c>
      <c r="M262" s="110">
        <f t="shared" si="26"/>
        <v>0</v>
      </c>
      <c r="N262" s="110">
        <f t="shared" si="32"/>
        <v>0</v>
      </c>
      <c r="O262" s="111">
        <f t="shared" si="33"/>
        <v>0</v>
      </c>
      <c r="P262" s="112"/>
    </row>
    <row r="263" spans="1:16" s="87" customFormat="1" ht="16" thickBot="1" x14ac:dyDescent="0.25">
      <c r="A263" s="86" t="s">
        <v>374</v>
      </c>
      <c r="B263" s="87" t="s">
        <v>375</v>
      </c>
      <c r="C263" s="88" t="s">
        <v>379</v>
      </c>
      <c r="D263" s="88"/>
      <c r="E263" s="88"/>
      <c r="F263" s="88"/>
      <c r="G263" s="88"/>
      <c r="H263" s="88"/>
      <c r="I263" s="89"/>
      <c r="J263" s="113">
        <f t="shared" si="23"/>
        <v>0</v>
      </c>
      <c r="K263" s="113">
        <f t="shared" si="24"/>
        <v>0</v>
      </c>
      <c r="L263" s="113">
        <f t="shared" si="25"/>
        <v>0</v>
      </c>
      <c r="M263" s="114">
        <f t="shared" si="26"/>
        <v>0</v>
      </c>
      <c r="N263" s="114">
        <f t="shared" si="32"/>
        <v>0</v>
      </c>
      <c r="O263" s="115">
        <f t="shared" si="33"/>
        <v>0</v>
      </c>
      <c r="P263" s="116"/>
    </row>
    <row r="264" spans="1:16" s="90" customFormat="1" x14ac:dyDescent="0.2">
      <c r="C264" s="91"/>
      <c r="D264" s="91"/>
      <c r="E264" s="91"/>
      <c r="F264" s="91"/>
      <c r="G264" s="91"/>
      <c r="H264" s="91"/>
      <c r="I264" s="92"/>
      <c r="J264" s="117"/>
      <c r="K264" s="117"/>
      <c r="L264" s="117"/>
      <c r="M264" s="118"/>
      <c r="N264" s="118"/>
      <c r="O264" s="119"/>
      <c r="P264" s="120"/>
    </row>
    <row r="265" spans="1:16" s="90" customFormat="1" ht="19" x14ac:dyDescent="0.25">
      <c r="A265" s="160" t="s">
        <v>465</v>
      </c>
      <c r="B265" s="161"/>
      <c r="C265" s="161"/>
      <c r="D265" s="161"/>
      <c r="E265" s="161"/>
      <c r="F265" s="161"/>
      <c r="G265" s="161"/>
      <c r="H265" s="161"/>
      <c r="I265" s="162"/>
      <c r="J265" s="117"/>
      <c r="K265" s="117"/>
      <c r="L265" s="117"/>
      <c r="M265" s="118"/>
      <c r="N265" s="118"/>
      <c r="O265" s="119"/>
      <c r="P265" s="120"/>
    </row>
    <row r="266" spans="1:16" s="74" customFormat="1" ht="48" x14ac:dyDescent="0.2">
      <c r="A266" s="93" t="s">
        <v>374</v>
      </c>
      <c r="B266" s="74" t="s">
        <v>375</v>
      </c>
      <c r="C266" s="94" t="s">
        <v>456</v>
      </c>
      <c r="D266" s="94" t="s">
        <v>457</v>
      </c>
      <c r="E266" s="94">
        <v>1</v>
      </c>
      <c r="F266" s="94" t="s">
        <v>458</v>
      </c>
      <c r="G266" s="94">
        <v>1</v>
      </c>
      <c r="H266" s="94" t="s">
        <v>459</v>
      </c>
      <c r="I266" s="97" t="s">
        <v>464</v>
      </c>
      <c r="J266" s="68" t="str">
        <f>IF($A266="No",0,IF(ISBLANK($D266)=FALSE,CONCATENATE(,$C266," ",$D266),0))</f>
        <v>BAL Balancing Cashflow Residuary Ledger</v>
      </c>
      <c r="K266" s="69" t="str">
        <f>IF($J266=0,0,IF(ISBLANK($F266)=FALSE,CONCATENATE($C266,$E266," ",$F266),0))</f>
        <v>BAL1 Residuary Ledger</v>
      </c>
      <c r="L266" s="70" t="str">
        <f>IF($K266=0,0,IF(ISBLANK($F266)=FALSE,CONCATENATE($C266,$E266,,"-",$G266,," ",$H266),0))</f>
        <v>BAL1-1 MISC Residuary for Cashflow</v>
      </c>
      <c r="M266" s="71">
        <f t="shared" si="26"/>
        <v>0</v>
      </c>
      <c r="N266" s="72">
        <f t="shared" ref="N266" si="37">IF(M266=0,0,IF(ISBLANK($F266)=FALSE,CONCATENATE(,$C$2," ",$M$2," ",$C266,$E266," ",$F266),0))</f>
        <v>0</v>
      </c>
      <c r="O266" s="73">
        <f t="shared" ref="O266" si="38">IF(N266=0,0,IF(ISBLANK($F266)=FALSE,CONCATENATE(,$C$2," ",$M$2," ",$C266,$E266,,"-",$G266,," ",$H266),0))</f>
        <v>0</v>
      </c>
      <c r="P266" s="104"/>
    </row>
    <row r="267" spans="1:16" s="74" customFormat="1" x14ac:dyDescent="0.2">
      <c r="A267" s="93" t="s">
        <v>375</v>
      </c>
      <c r="B267" s="74" t="s">
        <v>374</v>
      </c>
      <c r="C267" s="94" t="s">
        <v>456</v>
      </c>
      <c r="D267" s="94" t="s">
        <v>460</v>
      </c>
      <c r="E267" s="94">
        <v>1</v>
      </c>
      <c r="F267" s="94" t="s">
        <v>458</v>
      </c>
      <c r="G267" s="94">
        <v>2</v>
      </c>
      <c r="H267" s="94" t="s">
        <v>461</v>
      </c>
      <c r="I267" s="95" t="s">
        <v>462</v>
      </c>
      <c r="J267" s="68">
        <f>IF($A267="No",0,IF(ISBLANK($D267)=FALSE,CONCATENATE(,$C267," ",$D267),0))</f>
        <v>0</v>
      </c>
      <c r="K267" s="69">
        <f>IF($J267=0,0,IF(ISBLANK($F267)=FALSE,CONCATENATE($C267,$E267," ",$F267),0))</f>
        <v>0</v>
      </c>
      <c r="L267" s="70">
        <f>IF($K267=0,0,IF(ISBLANK($F267)=FALSE,CONCATENATE($C267,$E267,,"-",$G267,," ",$H267),0))</f>
        <v>0</v>
      </c>
      <c r="M267" s="71" t="str">
        <f t="shared" si="26"/>
        <v>CM PL BAL Balancing P&amp;L Residuary Ledger</v>
      </c>
      <c r="N267" s="72" t="str">
        <f t="shared" ref="N267" si="39">IF(M267=0,0,IF(ISBLANK($F267)=FALSE,CONCATENATE(,$C$2," ",$M$2," ",$C267,$E267," ",$F267),0))</f>
        <v>CM PL BAL1 Residuary Ledger</v>
      </c>
      <c r="O267" s="73" t="str">
        <f t="shared" ref="O267" si="40">IF(N267=0,0,IF(ISBLANK($F267)=FALSE,CONCATENATE(,$C$2," ",$M$2," ",$C267,$E267,,"-",$G267,," ",$H267),0))</f>
        <v>CM PL BAL1-2 MISC Residuary for PL</v>
      </c>
      <c r="P267" s="104"/>
    </row>
    <row r="268" spans="1:16" s="90" customFormat="1" x14ac:dyDescent="0.2">
      <c r="C268" s="91"/>
      <c r="D268" s="91"/>
      <c r="E268" s="91"/>
      <c r="F268" s="91"/>
      <c r="G268" s="91"/>
      <c r="H268" s="91"/>
      <c r="I268" s="92"/>
      <c r="J268" s="117"/>
      <c r="K268" s="117"/>
      <c r="L268" s="117"/>
      <c r="M268" s="118"/>
      <c r="N268" s="118"/>
      <c r="O268" s="119"/>
      <c r="P268" s="120"/>
    </row>
    <row r="269" spans="1:16" x14ac:dyDescent="0.2">
      <c r="A269" s="15" t="s">
        <v>375</v>
      </c>
      <c r="B269" s="15" t="s">
        <v>374</v>
      </c>
      <c r="C269" s="31" t="s">
        <v>456</v>
      </c>
      <c r="D269" s="31" t="s">
        <v>417</v>
      </c>
      <c r="E269" s="31">
        <v>1</v>
      </c>
      <c r="F269" s="31" t="s">
        <v>418</v>
      </c>
      <c r="G269" s="31">
        <v>1</v>
      </c>
      <c r="H269" s="31" t="s">
        <v>422</v>
      </c>
      <c r="I269" s="21" t="s">
        <v>463</v>
      </c>
      <c r="J269" s="37">
        <f t="shared" si="23"/>
        <v>0</v>
      </c>
      <c r="K269" s="38">
        <f t="shared" si="24"/>
        <v>0</v>
      </c>
      <c r="L269" s="39">
        <f t="shared" si="25"/>
        <v>0</v>
      </c>
      <c r="M269" s="33" t="str">
        <f t="shared" si="26"/>
        <v>CM PL BAL Payables</v>
      </c>
      <c r="N269" s="34" t="str">
        <f t="shared" si="32"/>
        <v>CM PL BAL1 Creditros</v>
      </c>
      <c r="O269" s="35" t="str">
        <f t="shared" si="33"/>
        <v>CM PL BAL1-1 Creditor payable</v>
      </c>
    </row>
    <row r="270" spans="1:16" x14ac:dyDescent="0.2">
      <c r="A270" s="15" t="s">
        <v>375</v>
      </c>
      <c r="B270" s="15" t="s">
        <v>374</v>
      </c>
      <c r="C270" s="31" t="s">
        <v>456</v>
      </c>
      <c r="D270" s="31" t="s">
        <v>417</v>
      </c>
      <c r="E270" s="31">
        <v>2</v>
      </c>
      <c r="F270" s="31" t="s">
        <v>423</v>
      </c>
      <c r="G270" s="31">
        <v>2</v>
      </c>
      <c r="H270" s="31" t="s">
        <v>419</v>
      </c>
      <c r="I270" s="21" t="s">
        <v>463</v>
      </c>
      <c r="J270" s="37">
        <f t="shared" si="23"/>
        <v>0</v>
      </c>
      <c r="K270" s="38">
        <f t="shared" si="24"/>
        <v>0</v>
      </c>
      <c r="L270" s="39">
        <f t="shared" si="25"/>
        <v>0</v>
      </c>
      <c r="M270" s="33" t="str">
        <f t="shared" si="26"/>
        <v>CM PL BAL Payables</v>
      </c>
      <c r="N270" s="34" t="str">
        <f t="shared" ref="N270" si="41">IF(M270=0,0,IF(ISBLANK($F270)=FALSE,CONCATENATE(,$C$2," ",$M$2," ",$C270,$E270," ",$F270),0))</f>
        <v xml:space="preserve">CM PL BAL2 Salary </v>
      </c>
      <c r="O270" s="35" t="str">
        <f t="shared" ref="O270" si="42">IF(N270=0,0,IF(ISBLANK($F270)=FALSE,CONCATENATE(,$C$2," ",$M$2," ",$C270,$E270,,"-",$G270,," ",$H270),0))</f>
        <v>CM PL BAL2-2 Salary Payable</v>
      </c>
    </row>
    <row r="271" spans="1:16" x14ac:dyDescent="0.2">
      <c r="A271" s="15" t="s">
        <v>375</v>
      </c>
      <c r="B271" s="15" t="s">
        <v>374</v>
      </c>
      <c r="C271" s="31" t="s">
        <v>456</v>
      </c>
      <c r="D271" s="31" t="s">
        <v>417</v>
      </c>
      <c r="E271" s="31">
        <v>3</v>
      </c>
      <c r="F271" s="31" t="s">
        <v>408</v>
      </c>
      <c r="G271" s="31">
        <v>3</v>
      </c>
      <c r="H271" s="31" t="s">
        <v>424</v>
      </c>
      <c r="I271" s="21" t="s">
        <v>463</v>
      </c>
      <c r="J271" s="37">
        <f t="shared" si="23"/>
        <v>0</v>
      </c>
      <c r="K271" s="38">
        <f t="shared" si="24"/>
        <v>0</v>
      </c>
      <c r="L271" s="39">
        <f t="shared" si="25"/>
        <v>0</v>
      </c>
      <c r="M271" s="33" t="str">
        <f t="shared" si="26"/>
        <v>CM PL BAL Payables</v>
      </c>
      <c r="N271" s="34" t="str">
        <f t="shared" ref="N271" si="43">IF(M271=0,0,IF(ISBLANK($F271)=FALSE,CONCATENATE(,$C$2," ",$M$2," ",$C271,$E271," ",$F271),0))</f>
        <v>CM PL BAL3 Provision</v>
      </c>
      <c r="O271" s="35" t="str">
        <f t="shared" ref="O271" si="44">IF(N271=0,0,IF(ISBLANK($F271)=FALSE,CONCATENATE(,$C$2," ",$M$2," ",$C271,$E271,,"-",$G271,," ",$H271),0))</f>
        <v>CM PL BAL3-3 Provision C</v>
      </c>
    </row>
    <row r="272" spans="1:16" s="56" customFormat="1" x14ac:dyDescent="0.2">
      <c r="A272" s="15" t="s">
        <v>375</v>
      </c>
      <c r="B272" s="51" t="s">
        <v>374</v>
      </c>
      <c r="C272" s="31" t="s">
        <v>456</v>
      </c>
      <c r="D272" s="50" t="s">
        <v>417</v>
      </c>
      <c r="E272" s="50">
        <v>4</v>
      </c>
      <c r="F272" s="50" t="s">
        <v>420</v>
      </c>
      <c r="G272" s="50">
        <v>1</v>
      </c>
      <c r="H272" s="50" t="s">
        <v>421</v>
      </c>
      <c r="I272" s="21" t="s">
        <v>463</v>
      </c>
      <c r="J272" s="52">
        <f t="shared" si="23"/>
        <v>0</v>
      </c>
      <c r="K272" s="53">
        <f t="shared" si="24"/>
        <v>0</v>
      </c>
      <c r="L272" s="40">
        <f t="shared" si="25"/>
        <v>0</v>
      </c>
      <c r="M272" s="54" t="str">
        <f t="shared" si="26"/>
        <v>CM PL BAL Payables</v>
      </c>
      <c r="N272" s="55" t="str">
        <f t="shared" si="27"/>
        <v>CM PL BAL4 Statutory Payables</v>
      </c>
      <c r="O272" s="36" t="str">
        <f t="shared" si="28"/>
        <v>CM PL BAL4-1 GST Payables</v>
      </c>
      <c r="P272" s="121"/>
    </row>
    <row r="273" spans="1:16" s="56" customFormat="1" x14ac:dyDescent="0.2">
      <c r="A273" s="15" t="s">
        <v>375</v>
      </c>
      <c r="B273" s="51" t="s">
        <v>374</v>
      </c>
      <c r="C273" s="31" t="s">
        <v>456</v>
      </c>
      <c r="D273" s="50" t="s">
        <v>417</v>
      </c>
      <c r="E273" s="50">
        <v>4</v>
      </c>
      <c r="F273" s="50" t="s">
        <v>420</v>
      </c>
      <c r="G273" s="50">
        <v>2</v>
      </c>
      <c r="H273" s="50" t="s">
        <v>414</v>
      </c>
      <c r="I273" s="21" t="s">
        <v>463</v>
      </c>
      <c r="J273" s="52">
        <f t="shared" si="23"/>
        <v>0</v>
      </c>
      <c r="K273" s="53">
        <f t="shared" si="24"/>
        <v>0</v>
      </c>
      <c r="L273" s="40">
        <f t="shared" si="25"/>
        <v>0</v>
      </c>
      <c r="M273" s="54" t="str">
        <f t="shared" si="26"/>
        <v>CM PL BAL Payables</v>
      </c>
      <c r="N273" s="55" t="str">
        <f t="shared" si="27"/>
        <v>CM PL BAL4 Statutory Payables</v>
      </c>
      <c r="O273" s="36" t="str">
        <f t="shared" si="28"/>
        <v>CM PL BAL4-2 TDS Payable</v>
      </c>
      <c r="P273" s="121"/>
    </row>
    <row r="274" spans="1:16" x14ac:dyDescent="0.2">
      <c r="A274" s="15" t="s">
        <v>374</v>
      </c>
      <c r="B274" s="15" t="s">
        <v>374</v>
      </c>
      <c r="J274" s="37">
        <f t="shared" si="23"/>
        <v>0</v>
      </c>
      <c r="K274" s="38">
        <f t="shared" si="24"/>
        <v>0</v>
      </c>
      <c r="L274" s="39">
        <f t="shared" si="25"/>
        <v>0</v>
      </c>
      <c r="M274" s="33">
        <f t="shared" si="26"/>
        <v>0</v>
      </c>
      <c r="N274" s="34">
        <f t="shared" si="27"/>
        <v>0</v>
      </c>
      <c r="O274" s="35">
        <f t="shared" si="28"/>
        <v>0</v>
      </c>
    </row>
    <row r="275" spans="1:16" x14ac:dyDescent="0.2">
      <c r="A275" s="15" t="s">
        <v>374</v>
      </c>
      <c r="B275" s="15" t="s">
        <v>374</v>
      </c>
      <c r="J275" s="37">
        <f t="shared" si="23"/>
        <v>0</v>
      </c>
      <c r="K275" s="38">
        <f t="shared" si="24"/>
        <v>0</v>
      </c>
      <c r="L275" s="39">
        <f t="shared" si="25"/>
        <v>0</v>
      </c>
      <c r="M275" s="33">
        <f t="shared" si="26"/>
        <v>0</v>
      </c>
      <c r="N275" s="34">
        <f t="shared" si="27"/>
        <v>0</v>
      </c>
      <c r="O275" s="35">
        <f t="shared" si="28"/>
        <v>0</v>
      </c>
    </row>
    <row r="276" spans="1:16" x14ac:dyDescent="0.2">
      <c r="A276" s="15" t="s">
        <v>374</v>
      </c>
      <c r="B276" s="15" t="s">
        <v>374</v>
      </c>
      <c r="J276" s="37">
        <f t="shared" si="23"/>
        <v>0</v>
      </c>
      <c r="K276" s="38">
        <f t="shared" si="24"/>
        <v>0</v>
      </c>
      <c r="L276" s="39">
        <f t="shared" si="25"/>
        <v>0</v>
      </c>
      <c r="M276" s="33">
        <f t="shared" si="26"/>
        <v>0</v>
      </c>
      <c r="N276" s="34">
        <f t="shared" si="27"/>
        <v>0</v>
      </c>
      <c r="O276" s="35">
        <f t="shared" si="28"/>
        <v>0</v>
      </c>
    </row>
    <row r="277" spans="1:16" x14ac:dyDescent="0.2">
      <c r="A277" s="15" t="s">
        <v>374</v>
      </c>
      <c r="B277" s="15" t="s">
        <v>374</v>
      </c>
      <c r="J277" s="37">
        <f t="shared" si="23"/>
        <v>0</v>
      </c>
      <c r="K277" s="38">
        <f t="shared" si="24"/>
        <v>0</v>
      </c>
      <c r="L277" s="39">
        <f t="shared" si="25"/>
        <v>0</v>
      </c>
      <c r="M277" s="33">
        <f t="shared" si="26"/>
        <v>0</v>
      </c>
      <c r="N277" s="34">
        <f t="shared" si="27"/>
        <v>0</v>
      </c>
      <c r="O277" s="35">
        <f t="shared" si="28"/>
        <v>0</v>
      </c>
    </row>
    <row r="278" spans="1:16" x14ac:dyDescent="0.2">
      <c r="A278" s="15" t="s">
        <v>374</v>
      </c>
      <c r="B278" s="15" t="s">
        <v>374</v>
      </c>
      <c r="J278" s="37">
        <f t="shared" si="23"/>
        <v>0</v>
      </c>
      <c r="K278" s="38">
        <f t="shared" si="24"/>
        <v>0</v>
      </c>
      <c r="L278" s="39">
        <f t="shared" si="25"/>
        <v>0</v>
      </c>
      <c r="M278" s="33">
        <f t="shared" si="26"/>
        <v>0</v>
      </c>
      <c r="N278" s="34">
        <f t="shared" si="27"/>
        <v>0</v>
      </c>
      <c r="O278" s="35">
        <f t="shared" si="28"/>
        <v>0</v>
      </c>
    </row>
    <row r="279" spans="1:16" x14ac:dyDescent="0.2">
      <c r="A279" s="15" t="s">
        <v>374</v>
      </c>
      <c r="B279" s="15" t="s">
        <v>374</v>
      </c>
      <c r="J279" s="37">
        <f t="shared" si="23"/>
        <v>0</v>
      </c>
      <c r="K279" s="38">
        <f t="shared" si="24"/>
        <v>0</v>
      </c>
      <c r="L279" s="39">
        <f t="shared" si="25"/>
        <v>0</v>
      </c>
      <c r="M279" s="33">
        <f t="shared" si="26"/>
        <v>0</v>
      </c>
      <c r="N279" s="34">
        <f t="shared" si="27"/>
        <v>0</v>
      </c>
      <c r="O279" s="35">
        <f t="shared" si="28"/>
        <v>0</v>
      </c>
    </row>
    <row r="280" spans="1:16" x14ac:dyDescent="0.2">
      <c r="A280" s="15" t="s">
        <v>374</v>
      </c>
      <c r="B280" s="15" t="s">
        <v>374</v>
      </c>
      <c r="J280" s="37">
        <f t="shared" si="23"/>
        <v>0</v>
      </c>
      <c r="K280" s="38">
        <f t="shared" si="24"/>
        <v>0</v>
      </c>
      <c r="L280" s="39">
        <f t="shared" si="25"/>
        <v>0</v>
      </c>
      <c r="M280" s="33">
        <f t="shared" si="26"/>
        <v>0</v>
      </c>
      <c r="N280" s="34">
        <f t="shared" si="27"/>
        <v>0</v>
      </c>
      <c r="O280" s="35">
        <f t="shared" si="28"/>
        <v>0</v>
      </c>
    </row>
    <row r="281" spans="1:16" x14ac:dyDescent="0.2">
      <c r="A281" s="15" t="s">
        <v>374</v>
      </c>
      <c r="B281" s="15" t="s">
        <v>374</v>
      </c>
      <c r="J281" s="37">
        <f t="shared" si="23"/>
        <v>0</v>
      </c>
      <c r="K281" s="38">
        <f t="shared" si="24"/>
        <v>0</v>
      </c>
      <c r="L281" s="39">
        <f t="shared" si="25"/>
        <v>0</v>
      </c>
      <c r="M281" s="33">
        <f t="shared" si="26"/>
        <v>0</v>
      </c>
      <c r="N281" s="34">
        <f t="shared" si="27"/>
        <v>0</v>
      </c>
      <c r="O281" s="35">
        <f t="shared" si="28"/>
        <v>0</v>
      </c>
    </row>
    <row r="282" spans="1:16" x14ac:dyDescent="0.2">
      <c r="A282" s="15" t="s">
        <v>374</v>
      </c>
      <c r="B282" s="15" t="s">
        <v>374</v>
      </c>
      <c r="J282" s="37">
        <f t="shared" si="23"/>
        <v>0</v>
      </c>
      <c r="K282" s="38">
        <f t="shared" si="24"/>
        <v>0</v>
      </c>
      <c r="L282" s="39">
        <f t="shared" si="25"/>
        <v>0</v>
      </c>
      <c r="M282" s="33">
        <f t="shared" si="26"/>
        <v>0</v>
      </c>
      <c r="N282" s="34">
        <f t="shared" si="27"/>
        <v>0</v>
      </c>
      <c r="O282" s="35">
        <f t="shared" si="28"/>
        <v>0</v>
      </c>
    </row>
    <row r="283" spans="1:16" x14ac:dyDescent="0.2">
      <c r="A283" s="15" t="s">
        <v>374</v>
      </c>
      <c r="B283" s="15" t="s">
        <v>374</v>
      </c>
      <c r="J283" s="37">
        <f t="shared" si="23"/>
        <v>0</v>
      </c>
      <c r="K283" s="38">
        <f t="shared" si="24"/>
        <v>0</v>
      </c>
      <c r="L283" s="39">
        <f t="shared" si="25"/>
        <v>0</v>
      </c>
      <c r="M283" s="33">
        <f t="shared" si="26"/>
        <v>0</v>
      </c>
      <c r="N283" s="34">
        <f t="shared" si="27"/>
        <v>0</v>
      </c>
      <c r="O283" s="35">
        <f t="shared" si="28"/>
        <v>0</v>
      </c>
    </row>
    <row r="284" spans="1:16" x14ac:dyDescent="0.2">
      <c r="A284" s="15" t="s">
        <v>374</v>
      </c>
      <c r="B284" s="15" t="s">
        <v>374</v>
      </c>
      <c r="J284" s="37">
        <f t="shared" si="23"/>
        <v>0</v>
      </c>
      <c r="K284" s="38">
        <f t="shared" si="24"/>
        <v>0</v>
      </c>
      <c r="L284" s="39">
        <f t="shared" si="25"/>
        <v>0</v>
      </c>
      <c r="M284" s="33">
        <f t="shared" si="26"/>
        <v>0</v>
      </c>
      <c r="N284" s="34">
        <f t="shared" si="27"/>
        <v>0</v>
      </c>
      <c r="O284" s="35">
        <f t="shared" si="28"/>
        <v>0</v>
      </c>
    </row>
    <row r="285" spans="1:16" x14ac:dyDescent="0.2">
      <c r="A285" s="15" t="s">
        <v>374</v>
      </c>
      <c r="B285" s="15" t="s">
        <v>374</v>
      </c>
      <c r="J285" s="37">
        <f t="shared" si="23"/>
        <v>0</v>
      </c>
      <c r="K285" s="38">
        <f t="shared" si="24"/>
        <v>0</v>
      </c>
      <c r="L285" s="39">
        <f t="shared" si="25"/>
        <v>0</v>
      </c>
      <c r="M285" s="33">
        <f t="shared" si="26"/>
        <v>0</v>
      </c>
      <c r="N285" s="34">
        <f t="shared" si="27"/>
        <v>0</v>
      </c>
      <c r="O285" s="35">
        <f t="shared" si="28"/>
        <v>0</v>
      </c>
    </row>
    <row r="286" spans="1:16" x14ac:dyDescent="0.2">
      <c r="A286" s="15" t="s">
        <v>374</v>
      </c>
      <c r="B286" s="15" t="s">
        <v>374</v>
      </c>
      <c r="J286" s="37">
        <f t="shared" si="23"/>
        <v>0</v>
      </c>
      <c r="K286" s="38">
        <f t="shared" si="24"/>
        <v>0</v>
      </c>
      <c r="L286" s="39">
        <f t="shared" si="25"/>
        <v>0</v>
      </c>
      <c r="M286" s="33">
        <f t="shared" si="26"/>
        <v>0</v>
      </c>
      <c r="N286" s="34">
        <f t="shared" si="27"/>
        <v>0</v>
      </c>
      <c r="O286" s="35">
        <f t="shared" si="28"/>
        <v>0</v>
      </c>
    </row>
    <row r="287" spans="1:16" x14ac:dyDescent="0.2">
      <c r="A287" s="15" t="s">
        <v>374</v>
      </c>
      <c r="B287" s="15" t="s">
        <v>374</v>
      </c>
      <c r="J287" s="37">
        <f t="shared" si="23"/>
        <v>0</v>
      </c>
      <c r="K287" s="38">
        <f t="shared" si="24"/>
        <v>0</v>
      </c>
      <c r="L287" s="39">
        <f t="shared" si="25"/>
        <v>0</v>
      </c>
      <c r="M287" s="33">
        <f t="shared" si="26"/>
        <v>0</v>
      </c>
      <c r="N287" s="34">
        <f t="shared" si="27"/>
        <v>0</v>
      </c>
      <c r="O287" s="35">
        <f t="shared" si="28"/>
        <v>0</v>
      </c>
    </row>
    <row r="288" spans="1:16" x14ac:dyDescent="0.2">
      <c r="A288" s="15" t="s">
        <v>374</v>
      </c>
      <c r="B288" s="15" t="s">
        <v>374</v>
      </c>
      <c r="J288" s="37">
        <f t="shared" si="23"/>
        <v>0</v>
      </c>
      <c r="K288" s="38">
        <f t="shared" si="24"/>
        <v>0</v>
      </c>
      <c r="L288" s="39">
        <f t="shared" si="25"/>
        <v>0</v>
      </c>
      <c r="M288" s="33">
        <f t="shared" si="26"/>
        <v>0</v>
      </c>
      <c r="N288" s="34">
        <f t="shared" si="27"/>
        <v>0</v>
      </c>
      <c r="O288" s="35">
        <f t="shared" si="28"/>
        <v>0</v>
      </c>
    </row>
    <row r="289" spans="1:15" x14ac:dyDescent="0.2">
      <c r="A289" s="15" t="s">
        <v>374</v>
      </c>
      <c r="B289" s="15" t="s">
        <v>374</v>
      </c>
      <c r="J289" s="37">
        <f t="shared" si="23"/>
        <v>0</v>
      </c>
      <c r="K289" s="38">
        <f t="shared" si="24"/>
        <v>0</v>
      </c>
      <c r="L289" s="39">
        <f t="shared" si="25"/>
        <v>0</v>
      </c>
      <c r="M289" s="33">
        <f t="shared" si="26"/>
        <v>0</v>
      </c>
      <c r="N289" s="34">
        <f t="shared" si="27"/>
        <v>0</v>
      </c>
      <c r="O289" s="35">
        <f t="shared" si="28"/>
        <v>0</v>
      </c>
    </row>
    <row r="290" spans="1:15" x14ac:dyDescent="0.2">
      <c r="A290" s="15" t="s">
        <v>374</v>
      </c>
      <c r="B290" s="15" t="s">
        <v>374</v>
      </c>
      <c r="J290" s="37">
        <f t="shared" si="23"/>
        <v>0</v>
      </c>
      <c r="K290" s="38">
        <f t="shared" si="24"/>
        <v>0</v>
      </c>
      <c r="L290" s="39">
        <f t="shared" si="25"/>
        <v>0</v>
      </c>
      <c r="M290" s="33">
        <f t="shared" si="26"/>
        <v>0</v>
      </c>
      <c r="N290" s="34">
        <f t="shared" si="27"/>
        <v>0</v>
      </c>
      <c r="O290" s="35">
        <f t="shared" si="28"/>
        <v>0</v>
      </c>
    </row>
    <row r="291" spans="1:15" x14ac:dyDescent="0.2">
      <c r="A291" s="15" t="s">
        <v>374</v>
      </c>
      <c r="B291" s="15" t="s">
        <v>374</v>
      </c>
      <c r="J291" s="37">
        <f t="shared" si="23"/>
        <v>0</v>
      </c>
      <c r="K291" s="38">
        <f t="shared" si="24"/>
        <v>0</v>
      </c>
      <c r="L291" s="39">
        <f t="shared" si="25"/>
        <v>0</v>
      </c>
      <c r="M291" s="33">
        <f t="shared" si="26"/>
        <v>0</v>
      </c>
      <c r="N291" s="34">
        <f t="shared" si="27"/>
        <v>0</v>
      </c>
      <c r="O291" s="35">
        <f t="shared" si="28"/>
        <v>0</v>
      </c>
    </row>
    <row r="292" spans="1:15" x14ac:dyDescent="0.2">
      <c r="A292" s="15" t="s">
        <v>374</v>
      </c>
      <c r="B292" s="15" t="s">
        <v>374</v>
      </c>
      <c r="J292" s="37">
        <f t="shared" si="23"/>
        <v>0</v>
      </c>
      <c r="K292" s="38">
        <f t="shared" si="24"/>
        <v>0</v>
      </c>
      <c r="L292" s="39">
        <f t="shared" si="25"/>
        <v>0</v>
      </c>
      <c r="M292" s="33">
        <f t="shared" si="26"/>
        <v>0</v>
      </c>
      <c r="N292" s="34">
        <f t="shared" si="27"/>
        <v>0</v>
      </c>
      <c r="O292" s="35">
        <f t="shared" si="28"/>
        <v>0</v>
      </c>
    </row>
    <row r="293" spans="1:15" x14ac:dyDescent="0.2">
      <c r="A293" s="15" t="s">
        <v>374</v>
      </c>
      <c r="B293" s="15" t="s">
        <v>374</v>
      </c>
      <c r="J293" s="37">
        <f t="shared" si="23"/>
        <v>0</v>
      </c>
      <c r="K293" s="38">
        <f t="shared" si="24"/>
        <v>0</v>
      </c>
      <c r="L293" s="39">
        <f t="shared" si="25"/>
        <v>0</v>
      </c>
      <c r="M293" s="33">
        <f t="shared" si="26"/>
        <v>0</v>
      </c>
      <c r="N293" s="34">
        <f t="shared" si="27"/>
        <v>0</v>
      </c>
      <c r="O293" s="35">
        <f t="shared" si="28"/>
        <v>0</v>
      </c>
    </row>
    <row r="294" spans="1:15" x14ac:dyDescent="0.2">
      <c r="A294" s="15" t="s">
        <v>374</v>
      </c>
      <c r="B294" s="15" t="s">
        <v>374</v>
      </c>
      <c r="J294" s="37">
        <f t="shared" ref="J294:J357" si="45">IF($A294="No",0,IF(ISBLANK($D294)=FALSE,CONCATENATE(,$C$2," ",$J$2," ",$C294," ",$D294),0))</f>
        <v>0</v>
      </c>
      <c r="K294" s="38">
        <f t="shared" ref="K294:K357" si="46">IF($J294=0,0,IF(ISBLANK($F294)=FALSE,CONCATENATE(,$C$2," ",$J$2," ",$C294,$E294," ",$F294),0))</f>
        <v>0</v>
      </c>
      <c r="L294" s="39">
        <f t="shared" ref="L294:L357" si="47">IF($K294=0,0,IF(ISBLANK($F294)=FALSE,CONCATENATE(,$C$2," ",$J$2," ",$C294,$E294,,"-",$G294,," ",$H294),0))</f>
        <v>0</v>
      </c>
      <c r="M294" s="33">
        <f t="shared" ref="M294:M357" si="48">IF($B294="No",0,IF(ISBLANK($D294)=FALSE,CONCATENATE(,$C$2," ",$M$2," ",$C294," ",$D294),0))</f>
        <v>0</v>
      </c>
      <c r="N294" s="34">
        <f t="shared" ref="N294:N357" si="49">IF(M294=0,0,IF(ISBLANK($F294)=FALSE,CONCATENATE(,$C$2," ",$M$2," ",$C294,$E294," ",$F294),0))</f>
        <v>0</v>
      </c>
      <c r="O294" s="35">
        <f t="shared" ref="O294:O357" si="50">IF(N294=0,0,IF(ISBLANK($F294)=FALSE,CONCATENATE(,$C$2," ",$M$2," ",$C294,$E294,,"-",$G294,," ",$H294),0))</f>
        <v>0</v>
      </c>
    </row>
    <row r="295" spans="1:15" x14ac:dyDescent="0.2">
      <c r="A295" s="15" t="s">
        <v>374</v>
      </c>
      <c r="B295" s="15" t="s">
        <v>374</v>
      </c>
      <c r="J295" s="37">
        <f t="shared" si="45"/>
        <v>0</v>
      </c>
      <c r="K295" s="38">
        <f t="shared" si="46"/>
        <v>0</v>
      </c>
      <c r="L295" s="39">
        <f t="shared" si="47"/>
        <v>0</v>
      </c>
      <c r="M295" s="33">
        <f t="shared" si="48"/>
        <v>0</v>
      </c>
      <c r="N295" s="34">
        <f t="shared" si="49"/>
        <v>0</v>
      </c>
      <c r="O295" s="35">
        <f t="shared" si="50"/>
        <v>0</v>
      </c>
    </row>
    <row r="296" spans="1:15" x14ac:dyDescent="0.2">
      <c r="A296" s="15" t="s">
        <v>374</v>
      </c>
      <c r="B296" s="15" t="s">
        <v>374</v>
      </c>
      <c r="J296" s="37">
        <f t="shared" si="45"/>
        <v>0</v>
      </c>
      <c r="K296" s="38">
        <f t="shared" si="46"/>
        <v>0</v>
      </c>
      <c r="L296" s="39">
        <f t="shared" si="47"/>
        <v>0</v>
      </c>
      <c r="M296" s="33">
        <f t="shared" si="48"/>
        <v>0</v>
      </c>
      <c r="N296" s="34">
        <f t="shared" si="49"/>
        <v>0</v>
      </c>
      <c r="O296" s="35">
        <f t="shared" si="50"/>
        <v>0</v>
      </c>
    </row>
    <row r="297" spans="1:15" x14ac:dyDescent="0.2">
      <c r="A297" s="15" t="s">
        <v>374</v>
      </c>
      <c r="B297" s="15" t="s">
        <v>374</v>
      </c>
      <c r="J297" s="37">
        <f t="shared" si="45"/>
        <v>0</v>
      </c>
      <c r="K297" s="38">
        <f t="shared" si="46"/>
        <v>0</v>
      </c>
      <c r="L297" s="39">
        <f t="shared" si="47"/>
        <v>0</v>
      </c>
      <c r="M297" s="33">
        <f t="shared" si="48"/>
        <v>0</v>
      </c>
      <c r="N297" s="34">
        <f t="shared" si="49"/>
        <v>0</v>
      </c>
      <c r="O297" s="35">
        <f t="shared" si="50"/>
        <v>0</v>
      </c>
    </row>
    <row r="298" spans="1:15" x14ac:dyDescent="0.2">
      <c r="A298" s="15" t="s">
        <v>374</v>
      </c>
      <c r="B298" s="15" t="s">
        <v>374</v>
      </c>
      <c r="J298" s="37">
        <f t="shared" si="45"/>
        <v>0</v>
      </c>
      <c r="K298" s="38">
        <f t="shared" si="46"/>
        <v>0</v>
      </c>
      <c r="L298" s="39">
        <f t="shared" si="47"/>
        <v>0</v>
      </c>
      <c r="M298" s="33">
        <f t="shared" si="48"/>
        <v>0</v>
      </c>
      <c r="N298" s="34">
        <f t="shared" si="49"/>
        <v>0</v>
      </c>
      <c r="O298" s="35">
        <f t="shared" si="50"/>
        <v>0</v>
      </c>
    </row>
    <row r="299" spans="1:15" x14ac:dyDescent="0.2">
      <c r="A299" s="15" t="s">
        <v>374</v>
      </c>
      <c r="B299" s="15" t="s">
        <v>374</v>
      </c>
      <c r="J299" s="37">
        <f t="shared" si="45"/>
        <v>0</v>
      </c>
      <c r="K299" s="38">
        <f t="shared" si="46"/>
        <v>0</v>
      </c>
      <c r="L299" s="39">
        <f t="shared" si="47"/>
        <v>0</v>
      </c>
      <c r="M299" s="33">
        <f t="shared" si="48"/>
        <v>0</v>
      </c>
      <c r="N299" s="34">
        <f t="shared" si="49"/>
        <v>0</v>
      </c>
      <c r="O299" s="35">
        <f t="shared" si="50"/>
        <v>0</v>
      </c>
    </row>
    <row r="300" spans="1:15" x14ac:dyDescent="0.2">
      <c r="A300" s="15" t="s">
        <v>374</v>
      </c>
      <c r="B300" s="15" t="s">
        <v>374</v>
      </c>
      <c r="J300" s="37">
        <f t="shared" si="45"/>
        <v>0</v>
      </c>
      <c r="K300" s="38">
        <f t="shared" si="46"/>
        <v>0</v>
      </c>
      <c r="L300" s="39">
        <f t="shared" si="47"/>
        <v>0</v>
      </c>
      <c r="M300" s="33">
        <f t="shared" si="48"/>
        <v>0</v>
      </c>
      <c r="N300" s="34">
        <f t="shared" si="49"/>
        <v>0</v>
      </c>
      <c r="O300" s="35">
        <f t="shared" si="50"/>
        <v>0</v>
      </c>
    </row>
    <row r="301" spans="1:15" x14ac:dyDescent="0.2">
      <c r="A301" s="15" t="s">
        <v>374</v>
      </c>
      <c r="B301" s="15" t="s">
        <v>374</v>
      </c>
      <c r="J301" s="37">
        <f t="shared" si="45"/>
        <v>0</v>
      </c>
      <c r="K301" s="38">
        <f t="shared" si="46"/>
        <v>0</v>
      </c>
      <c r="L301" s="39">
        <f t="shared" si="47"/>
        <v>0</v>
      </c>
      <c r="M301" s="33">
        <f t="shared" si="48"/>
        <v>0</v>
      </c>
      <c r="N301" s="34">
        <f t="shared" si="49"/>
        <v>0</v>
      </c>
      <c r="O301" s="35">
        <f t="shared" si="50"/>
        <v>0</v>
      </c>
    </row>
    <row r="302" spans="1:15" x14ac:dyDescent="0.2">
      <c r="A302" s="15" t="s">
        <v>374</v>
      </c>
      <c r="B302" s="15" t="s">
        <v>374</v>
      </c>
      <c r="J302" s="37">
        <f t="shared" si="45"/>
        <v>0</v>
      </c>
      <c r="K302" s="38">
        <f t="shared" si="46"/>
        <v>0</v>
      </c>
      <c r="L302" s="39">
        <f t="shared" si="47"/>
        <v>0</v>
      </c>
      <c r="M302" s="33">
        <f t="shared" si="48"/>
        <v>0</v>
      </c>
      <c r="N302" s="34">
        <f t="shared" si="49"/>
        <v>0</v>
      </c>
      <c r="O302" s="35">
        <f t="shared" si="50"/>
        <v>0</v>
      </c>
    </row>
    <row r="303" spans="1:15" x14ac:dyDescent="0.2">
      <c r="A303" s="15" t="s">
        <v>374</v>
      </c>
      <c r="B303" s="15" t="s">
        <v>374</v>
      </c>
      <c r="J303" s="37">
        <f t="shared" si="45"/>
        <v>0</v>
      </c>
      <c r="K303" s="38">
        <f t="shared" si="46"/>
        <v>0</v>
      </c>
      <c r="L303" s="39">
        <f t="shared" si="47"/>
        <v>0</v>
      </c>
      <c r="M303" s="33">
        <f t="shared" si="48"/>
        <v>0</v>
      </c>
      <c r="N303" s="34">
        <f t="shared" si="49"/>
        <v>0</v>
      </c>
      <c r="O303" s="35">
        <f t="shared" si="50"/>
        <v>0</v>
      </c>
    </row>
    <row r="304" spans="1:15" x14ac:dyDescent="0.2">
      <c r="A304" s="15" t="s">
        <v>374</v>
      </c>
      <c r="B304" s="15" t="s">
        <v>374</v>
      </c>
      <c r="J304" s="37">
        <f t="shared" si="45"/>
        <v>0</v>
      </c>
      <c r="K304" s="38">
        <f t="shared" si="46"/>
        <v>0</v>
      </c>
      <c r="L304" s="39">
        <f t="shared" si="47"/>
        <v>0</v>
      </c>
      <c r="M304" s="33">
        <f t="shared" si="48"/>
        <v>0</v>
      </c>
      <c r="N304" s="34">
        <f t="shared" si="49"/>
        <v>0</v>
      </c>
      <c r="O304" s="35">
        <f t="shared" si="50"/>
        <v>0</v>
      </c>
    </row>
    <row r="305" spans="1:15" x14ac:dyDescent="0.2">
      <c r="A305" s="15" t="s">
        <v>374</v>
      </c>
      <c r="B305" s="15" t="s">
        <v>374</v>
      </c>
      <c r="J305" s="37">
        <f t="shared" si="45"/>
        <v>0</v>
      </c>
      <c r="K305" s="38">
        <f t="shared" si="46"/>
        <v>0</v>
      </c>
      <c r="L305" s="39">
        <f t="shared" si="47"/>
        <v>0</v>
      </c>
      <c r="M305" s="33">
        <f t="shared" si="48"/>
        <v>0</v>
      </c>
      <c r="N305" s="34">
        <f t="shared" si="49"/>
        <v>0</v>
      </c>
      <c r="O305" s="35">
        <f t="shared" si="50"/>
        <v>0</v>
      </c>
    </row>
    <row r="306" spans="1:15" x14ac:dyDescent="0.2">
      <c r="A306" s="15" t="s">
        <v>374</v>
      </c>
      <c r="B306" s="15" t="s">
        <v>374</v>
      </c>
      <c r="J306" s="37">
        <f t="shared" si="45"/>
        <v>0</v>
      </c>
      <c r="K306" s="38">
        <f t="shared" si="46"/>
        <v>0</v>
      </c>
      <c r="L306" s="39">
        <f t="shared" si="47"/>
        <v>0</v>
      </c>
      <c r="M306" s="33">
        <f t="shared" si="48"/>
        <v>0</v>
      </c>
      <c r="N306" s="34">
        <f t="shared" si="49"/>
        <v>0</v>
      </c>
      <c r="O306" s="35">
        <f t="shared" si="50"/>
        <v>0</v>
      </c>
    </row>
    <row r="307" spans="1:15" x14ac:dyDescent="0.2">
      <c r="A307" s="15" t="s">
        <v>374</v>
      </c>
      <c r="B307" s="15" t="s">
        <v>374</v>
      </c>
      <c r="J307" s="37">
        <f t="shared" si="45"/>
        <v>0</v>
      </c>
      <c r="K307" s="38">
        <f t="shared" si="46"/>
        <v>0</v>
      </c>
      <c r="L307" s="39">
        <f t="shared" si="47"/>
        <v>0</v>
      </c>
      <c r="M307" s="33">
        <f t="shared" si="48"/>
        <v>0</v>
      </c>
      <c r="N307" s="34">
        <f t="shared" si="49"/>
        <v>0</v>
      </c>
      <c r="O307" s="35">
        <f t="shared" si="50"/>
        <v>0</v>
      </c>
    </row>
    <row r="308" spans="1:15" x14ac:dyDescent="0.2">
      <c r="A308" s="15" t="s">
        <v>374</v>
      </c>
      <c r="B308" s="15" t="s">
        <v>374</v>
      </c>
      <c r="J308" s="37">
        <f t="shared" si="45"/>
        <v>0</v>
      </c>
      <c r="K308" s="38">
        <f t="shared" si="46"/>
        <v>0</v>
      </c>
      <c r="L308" s="39">
        <f t="shared" si="47"/>
        <v>0</v>
      </c>
      <c r="M308" s="33">
        <f t="shared" si="48"/>
        <v>0</v>
      </c>
      <c r="N308" s="34">
        <f t="shared" si="49"/>
        <v>0</v>
      </c>
      <c r="O308" s="35">
        <f t="shared" si="50"/>
        <v>0</v>
      </c>
    </row>
    <row r="309" spans="1:15" x14ac:dyDescent="0.2">
      <c r="A309" s="15" t="s">
        <v>374</v>
      </c>
      <c r="B309" s="15" t="s">
        <v>374</v>
      </c>
      <c r="J309" s="37">
        <f t="shared" si="45"/>
        <v>0</v>
      </c>
      <c r="K309" s="38">
        <f t="shared" si="46"/>
        <v>0</v>
      </c>
      <c r="L309" s="39">
        <f t="shared" si="47"/>
        <v>0</v>
      </c>
      <c r="M309" s="33">
        <f t="shared" si="48"/>
        <v>0</v>
      </c>
      <c r="N309" s="34">
        <f t="shared" si="49"/>
        <v>0</v>
      </c>
      <c r="O309" s="35">
        <f t="shared" si="50"/>
        <v>0</v>
      </c>
    </row>
    <row r="310" spans="1:15" x14ac:dyDescent="0.2">
      <c r="A310" s="15" t="s">
        <v>374</v>
      </c>
      <c r="B310" s="15" t="s">
        <v>374</v>
      </c>
      <c r="J310" s="37">
        <f t="shared" si="45"/>
        <v>0</v>
      </c>
      <c r="K310" s="38">
        <f t="shared" si="46"/>
        <v>0</v>
      </c>
      <c r="L310" s="39">
        <f t="shared" si="47"/>
        <v>0</v>
      </c>
      <c r="M310" s="33">
        <f t="shared" si="48"/>
        <v>0</v>
      </c>
      <c r="N310" s="34">
        <f t="shared" si="49"/>
        <v>0</v>
      </c>
      <c r="O310" s="35">
        <f t="shared" si="50"/>
        <v>0</v>
      </c>
    </row>
    <row r="311" spans="1:15" x14ac:dyDescent="0.2">
      <c r="A311" s="15" t="s">
        <v>374</v>
      </c>
      <c r="B311" s="15" t="s">
        <v>374</v>
      </c>
      <c r="J311" s="37">
        <f t="shared" si="45"/>
        <v>0</v>
      </c>
      <c r="K311" s="38">
        <f t="shared" si="46"/>
        <v>0</v>
      </c>
      <c r="L311" s="39">
        <f t="shared" si="47"/>
        <v>0</v>
      </c>
      <c r="M311" s="33">
        <f t="shared" si="48"/>
        <v>0</v>
      </c>
      <c r="N311" s="34">
        <f t="shared" si="49"/>
        <v>0</v>
      </c>
      <c r="O311" s="35">
        <f t="shared" si="50"/>
        <v>0</v>
      </c>
    </row>
    <row r="312" spans="1:15" x14ac:dyDescent="0.2">
      <c r="A312" s="15" t="s">
        <v>374</v>
      </c>
      <c r="B312" s="15" t="s">
        <v>374</v>
      </c>
      <c r="J312" s="37">
        <f t="shared" si="45"/>
        <v>0</v>
      </c>
      <c r="K312" s="38">
        <f t="shared" si="46"/>
        <v>0</v>
      </c>
      <c r="L312" s="39">
        <f t="shared" si="47"/>
        <v>0</v>
      </c>
      <c r="M312" s="33">
        <f t="shared" si="48"/>
        <v>0</v>
      </c>
      <c r="N312" s="34">
        <f t="shared" si="49"/>
        <v>0</v>
      </c>
      <c r="O312" s="35">
        <f t="shared" si="50"/>
        <v>0</v>
      </c>
    </row>
    <row r="313" spans="1:15" x14ac:dyDescent="0.2">
      <c r="A313" s="15" t="s">
        <v>374</v>
      </c>
      <c r="B313" s="15" t="s">
        <v>374</v>
      </c>
      <c r="J313" s="37">
        <f t="shared" si="45"/>
        <v>0</v>
      </c>
      <c r="K313" s="38">
        <f t="shared" si="46"/>
        <v>0</v>
      </c>
      <c r="L313" s="39">
        <f t="shared" si="47"/>
        <v>0</v>
      </c>
      <c r="M313" s="33">
        <f t="shared" si="48"/>
        <v>0</v>
      </c>
      <c r="N313" s="34">
        <f t="shared" si="49"/>
        <v>0</v>
      </c>
      <c r="O313" s="35">
        <f t="shared" si="50"/>
        <v>0</v>
      </c>
    </row>
    <row r="314" spans="1:15" x14ac:dyDescent="0.2">
      <c r="A314" s="15" t="s">
        <v>374</v>
      </c>
      <c r="B314" s="15" t="s">
        <v>374</v>
      </c>
      <c r="J314" s="37">
        <f t="shared" si="45"/>
        <v>0</v>
      </c>
      <c r="K314" s="38">
        <f t="shared" si="46"/>
        <v>0</v>
      </c>
      <c r="L314" s="39">
        <f t="shared" si="47"/>
        <v>0</v>
      </c>
      <c r="M314" s="33">
        <f t="shared" si="48"/>
        <v>0</v>
      </c>
      <c r="N314" s="34">
        <f t="shared" si="49"/>
        <v>0</v>
      </c>
      <c r="O314" s="35">
        <f t="shared" si="50"/>
        <v>0</v>
      </c>
    </row>
    <row r="315" spans="1:15" x14ac:dyDescent="0.2">
      <c r="A315" s="15" t="s">
        <v>374</v>
      </c>
      <c r="B315" s="15" t="s">
        <v>374</v>
      </c>
      <c r="J315" s="37">
        <f t="shared" si="45"/>
        <v>0</v>
      </c>
      <c r="K315" s="38">
        <f t="shared" si="46"/>
        <v>0</v>
      </c>
      <c r="L315" s="39">
        <f t="shared" si="47"/>
        <v>0</v>
      </c>
      <c r="M315" s="33">
        <f t="shared" si="48"/>
        <v>0</v>
      </c>
      <c r="N315" s="34">
        <f t="shared" si="49"/>
        <v>0</v>
      </c>
      <c r="O315" s="35">
        <f t="shared" si="50"/>
        <v>0</v>
      </c>
    </row>
    <row r="316" spans="1:15" x14ac:dyDescent="0.2">
      <c r="A316" s="15" t="s">
        <v>374</v>
      </c>
      <c r="B316" s="15" t="s">
        <v>374</v>
      </c>
      <c r="J316" s="37">
        <f t="shared" si="45"/>
        <v>0</v>
      </c>
      <c r="K316" s="38">
        <f t="shared" si="46"/>
        <v>0</v>
      </c>
      <c r="L316" s="39">
        <f t="shared" si="47"/>
        <v>0</v>
      </c>
      <c r="M316" s="33">
        <f t="shared" si="48"/>
        <v>0</v>
      </c>
      <c r="N316" s="34">
        <f t="shared" si="49"/>
        <v>0</v>
      </c>
      <c r="O316" s="35">
        <f t="shared" si="50"/>
        <v>0</v>
      </c>
    </row>
    <row r="317" spans="1:15" x14ac:dyDescent="0.2">
      <c r="A317" s="15" t="s">
        <v>374</v>
      </c>
      <c r="B317" s="15" t="s">
        <v>374</v>
      </c>
      <c r="J317" s="37">
        <f t="shared" si="45"/>
        <v>0</v>
      </c>
      <c r="K317" s="38">
        <f t="shared" si="46"/>
        <v>0</v>
      </c>
      <c r="L317" s="39">
        <f t="shared" si="47"/>
        <v>0</v>
      </c>
      <c r="M317" s="33">
        <f t="shared" si="48"/>
        <v>0</v>
      </c>
      <c r="N317" s="34">
        <f t="shared" si="49"/>
        <v>0</v>
      </c>
      <c r="O317" s="35">
        <f t="shared" si="50"/>
        <v>0</v>
      </c>
    </row>
    <row r="318" spans="1:15" x14ac:dyDescent="0.2">
      <c r="A318" s="15" t="s">
        <v>374</v>
      </c>
      <c r="B318" s="15" t="s">
        <v>374</v>
      </c>
      <c r="J318" s="37">
        <f t="shared" si="45"/>
        <v>0</v>
      </c>
      <c r="K318" s="38">
        <f t="shared" si="46"/>
        <v>0</v>
      </c>
      <c r="L318" s="39">
        <f t="shared" si="47"/>
        <v>0</v>
      </c>
      <c r="M318" s="33">
        <f t="shared" si="48"/>
        <v>0</v>
      </c>
      <c r="N318" s="34">
        <f t="shared" si="49"/>
        <v>0</v>
      </c>
      <c r="O318" s="35">
        <f t="shared" si="50"/>
        <v>0</v>
      </c>
    </row>
    <row r="319" spans="1:15" x14ac:dyDescent="0.2">
      <c r="A319" s="15" t="s">
        <v>374</v>
      </c>
      <c r="B319" s="15" t="s">
        <v>374</v>
      </c>
      <c r="J319" s="37">
        <f t="shared" si="45"/>
        <v>0</v>
      </c>
      <c r="K319" s="38">
        <f t="shared" si="46"/>
        <v>0</v>
      </c>
      <c r="L319" s="39">
        <f t="shared" si="47"/>
        <v>0</v>
      </c>
      <c r="M319" s="33">
        <f t="shared" si="48"/>
        <v>0</v>
      </c>
      <c r="N319" s="34">
        <f t="shared" si="49"/>
        <v>0</v>
      </c>
      <c r="O319" s="35">
        <f t="shared" si="50"/>
        <v>0</v>
      </c>
    </row>
    <row r="320" spans="1:15" x14ac:dyDescent="0.2">
      <c r="A320" s="15" t="s">
        <v>374</v>
      </c>
      <c r="B320" s="15" t="s">
        <v>374</v>
      </c>
      <c r="J320" s="37">
        <f t="shared" si="45"/>
        <v>0</v>
      </c>
      <c r="K320" s="38">
        <f t="shared" si="46"/>
        <v>0</v>
      </c>
      <c r="L320" s="39">
        <f t="shared" si="47"/>
        <v>0</v>
      </c>
      <c r="M320" s="33">
        <f t="shared" si="48"/>
        <v>0</v>
      </c>
      <c r="N320" s="34">
        <f t="shared" si="49"/>
        <v>0</v>
      </c>
      <c r="O320" s="35">
        <f t="shared" si="50"/>
        <v>0</v>
      </c>
    </row>
    <row r="321" spans="1:15" x14ac:dyDescent="0.2">
      <c r="A321" s="15" t="s">
        <v>374</v>
      </c>
      <c r="B321" s="15" t="s">
        <v>374</v>
      </c>
      <c r="J321" s="37">
        <f t="shared" si="45"/>
        <v>0</v>
      </c>
      <c r="K321" s="38">
        <f t="shared" si="46"/>
        <v>0</v>
      </c>
      <c r="L321" s="39">
        <f t="shared" si="47"/>
        <v>0</v>
      </c>
      <c r="M321" s="33">
        <f t="shared" si="48"/>
        <v>0</v>
      </c>
      <c r="N321" s="34">
        <f t="shared" si="49"/>
        <v>0</v>
      </c>
      <c r="O321" s="35">
        <f t="shared" si="50"/>
        <v>0</v>
      </c>
    </row>
    <row r="322" spans="1:15" x14ac:dyDescent="0.2">
      <c r="A322" s="15" t="s">
        <v>374</v>
      </c>
      <c r="B322" s="15" t="s">
        <v>374</v>
      </c>
      <c r="J322" s="37">
        <f t="shared" si="45"/>
        <v>0</v>
      </c>
      <c r="K322" s="38">
        <f t="shared" si="46"/>
        <v>0</v>
      </c>
      <c r="L322" s="39">
        <f t="shared" si="47"/>
        <v>0</v>
      </c>
      <c r="M322" s="33">
        <f t="shared" si="48"/>
        <v>0</v>
      </c>
      <c r="N322" s="34">
        <f t="shared" si="49"/>
        <v>0</v>
      </c>
      <c r="O322" s="35">
        <f t="shared" si="50"/>
        <v>0</v>
      </c>
    </row>
    <row r="323" spans="1:15" x14ac:dyDescent="0.2">
      <c r="A323" s="15" t="s">
        <v>374</v>
      </c>
      <c r="B323" s="15" t="s">
        <v>374</v>
      </c>
      <c r="J323" s="37">
        <f t="shared" si="45"/>
        <v>0</v>
      </c>
      <c r="K323" s="38">
        <f t="shared" si="46"/>
        <v>0</v>
      </c>
      <c r="L323" s="39">
        <f t="shared" si="47"/>
        <v>0</v>
      </c>
      <c r="M323" s="33">
        <f t="shared" si="48"/>
        <v>0</v>
      </c>
      <c r="N323" s="34">
        <f t="shared" si="49"/>
        <v>0</v>
      </c>
      <c r="O323" s="35">
        <f t="shared" si="50"/>
        <v>0</v>
      </c>
    </row>
    <row r="324" spans="1:15" x14ac:dyDescent="0.2">
      <c r="A324" s="15" t="s">
        <v>374</v>
      </c>
      <c r="B324" s="15" t="s">
        <v>374</v>
      </c>
      <c r="J324" s="37">
        <f t="shared" si="45"/>
        <v>0</v>
      </c>
      <c r="K324" s="38">
        <f t="shared" si="46"/>
        <v>0</v>
      </c>
      <c r="L324" s="39">
        <f t="shared" si="47"/>
        <v>0</v>
      </c>
      <c r="M324" s="33">
        <f t="shared" si="48"/>
        <v>0</v>
      </c>
      <c r="N324" s="34">
        <f t="shared" si="49"/>
        <v>0</v>
      </c>
      <c r="O324" s="35">
        <f t="shared" si="50"/>
        <v>0</v>
      </c>
    </row>
    <row r="325" spans="1:15" x14ac:dyDescent="0.2">
      <c r="A325" s="15" t="s">
        <v>374</v>
      </c>
      <c r="B325" s="15" t="s">
        <v>374</v>
      </c>
      <c r="J325" s="37">
        <f t="shared" si="45"/>
        <v>0</v>
      </c>
      <c r="K325" s="38">
        <f t="shared" si="46"/>
        <v>0</v>
      </c>
      <c r="L325" s="39">
        <f t="shared" si="47"/>
        <v>0</v>
      </c>
      <c r="M325" s="33">
        <f t="shared" si="48"/>
        <v>0</v>
      </c>
      <c r="N325" s="34">
        <f t="shared" si="49"/>
        <v>0</v>
      </c>
      <c r="O325" s="35">
        <f t="shared" si="50"/>
        <v>0</v>
      </c>
    </row>
    <row r="326" spans="1:15" x14ac:dyDescent="0.2">
      <c r="A326" s="15" t="s">
        <v>374</v>
      </c>
      <c r="B326" s="15" t="s">
        <v>374</v>
      </c>
      <c r="J326" s="37">
        <f t="shared" si="45"/>
        <v>0</v>
      </c>
      <c r="K326" s="38">
        <f t="shared" si="46"/>
        <v>0</v>
      </c>
      <c r="L326" s="39">
        <f t="shared" si="47"/>
        <v>0</v>
      </c>
      <c r="M326" s="33">
        <f t="shared" si="48"/>
        <v>0</v>
      </c>
      <c r="N326" s="34">
        <f t="shared" si="49"/>
        <v>0</v>
      </c>
      <c r="O326" s="35">
        <f t="shared" si="50"/>
        <v>0</v>
      </c>
    </row>
    <row r="327" spans="1:15" x14ac:dyDescent="0.2">
      <c r="A327" s="15" t="s">
        <v>374</v>
      </c>
      <c r="B327" s="15" t="s">
        <v>374</v>
      </c>
      <c r="J327" s="37">
        <f t="shared" si="45"/>
        <v>0</v>
      </c>
      <c r="K327" s="38">
        <f t="shared" si="46"/>
        <v>0</v>
      </c>
      <c r="L327" s="39">
        <f t="shared" si="47"/>
        <v>0</v>
      </c>
      <c r="M327" s="33">
        <f t="shared" si="48"/>
        <v>0</v>
      </c>
      <c r="N327" s="34">
        <f t="shared" si="49"/>
        <v>0</v>
      </c>
      <c r="O327" s="35">
        <f t="shared" si="50"/>
        <v>0</v>
      </c>
    </row>
    <row r="328" spans="1:15" x14ac:dyDescent="0.2">
      <c r="A328" s="15" t="s">
        <v>374</v>
      </c>
      <c r="B328" s="15" t="s">
        <v>374</v>
      </c>
      <c r="J328" s="37">
        <f t="shared" si="45"/>
        <v>0</v>
      </c>
      <c r="K328" s="38">
        <f t="shared" si="46"/>
        <v>0</v>
      </c>
      <c r="L328" s="39">
        <f t="shared" si="47"/>
        <v>0</v>
      </c>
      <c r="M328" s="33">
        <f t="shared" si="48"/>
        <v>0</v>
      </c>
      <c r="N328" s="34">
        <f t="shared" si="49"/>
        <v>0</v>
      </c>
      <c r="O328" s="35">
        <f t="shared" si="50"/>
        <v>0</v>
      </c>
    </row>
    <row r="329" spans="1:15" x14ac:dyDescent="0.2">
      <c r="A329" s="15" t="s">
        <v>374</v>
      </c>
      <c r="B329" s="15" t="s">
        <v>374</v>
      </c>
      <c r="J329" s="37">
        <f t="shared" si="45"/>
        <v>0</v>
      </c>
      <c r="K329" s="38">
        <f t="shared" si="46"/>
        <v>0</v>
      </c>
      <c r="L329" s="39">
        <f t="shared" si="47"/>
        <v>0</v>
      </c>
      <c r="M329" s="33">
        <f t="shared" si="48"/>
        <v>0</v>
      </c>
      <c r="N329" s="34">
        <f t="shared" si="49"/>
        <v>0</v>
      </c>
      <c r="O329" s="35">
        <f t="shared" si="50"/>
        <v>0</v>
      </c>
    </row>
    <row r="330" spans="1:15" x14ac:dyDescent="0.2">
      <c r="A330" s="15" t="s">
        <v>374</v>
      </c>
      <c r="B330" s="15" t="s">
        <v>374</v>
      </c>
      <c r="J330" s="37">
        <f t="shared" si="45"/>
        <v>0</v>
      </c>
      <c r="K330" s="38">
        <f t="shared" si="46"/>
        <v>0</v>
      </c>
      <c r="L330" s="39">
        <f t="shared" si="47"/>
        <v>0</v>
      </c>
      <c r="M330" s="33">
        <f t="shared" si="48"/>
        <v>0</v>
      </c>
      <c r="N330" s="34">
        <f t="shared" si="49"/>
        <v>0</v>
      </c>
      <c r="O330" s="35">
        <f t="shared" si="50"/>
        <v>0</v>
      </c>
    </row>
    <row r="331" spans="1:15" x14ac:dyDescent="0.2">
      <c r="A331" s="15" t="s">
        <v>374</v>
      </c>
      <c r="B331" s="15" t="s">
        <v>374</v>
      </c>
      <c r="J331" s="37">
        <f t="shared" si="45"/>
        <v>0</v>
      </c>
      <c r="K331" s="38">
        <f t="shared" si="46"/>
        <v>0</v>
      </c>
      <c r="L331" s="39">
        <f t="shared" si="47"/>
        <v>0</v>
      </c>
      <c r="M331" s="33">
        <f t="shared" si="48"/>
        <v>0</v>
      </c>
      <c r="N331" s="34">
        <f t="shared" si="49"/>
        <v>0</v>
      </c>
      <c r="O331" s="35">
        <f t="shared" si="50"/>
        <v>0</v>
      </c>
    </row>
    <row r="332" spans="1:15" x14ac:dyDescent="0.2">
      <c r="A332" s="15" t="s">
        <v>374</v>
      </c>
      <c r="B332" s="15" t="s">
        <v>374</v>
      </c>
      <c r="J332" s="37">
        <f t="shared" si="45"/>
        <v>0</v>
      </c>
      <c r="K332" s="38">
        <f t="shared" si="46"/>
        <v>0</v>
      </c>
      <c r="L332" s="39">
        <f t="shared" si="47"/>
        <v>0</v>
      </c>
      <c r="M332" s="33">
        <f t="shared" si="48"/>
        <v>0</v>
      </c>
      <c r="N332" s="34">
        <f t="shared" si="49"/>
        <v>0</v>
      </c>
      <c r="O332" s="35">
        <f t="shared" si="50"/>
        <v>0</v>
      </c>
    </row>
    <row r="333" spans="1:15" x14ac:dyDescent="0.2">
      <c r="A333" s="15" t="s">
        <v>374</v>
      </c>
      <c r="B333" s="15" t="s">
        <v>374</v>
      </c>
      <c r="J333" s="37">
        <f t="shared" si="45"/>
        <v>0</v>
      </c>
      <c r="K333" s="38">
        <f t="shared" si="46"/>
        <v>0</v>
      </c>
      <c r="L333" s="39">
        <f t="shared" si="47"/>
        <v>0</v>
      </c>
      <c r="M333" s="33">
        <f t="shared" si="48"/>
        <v>0</v>
      </c>
      <c r="N333" s="34">
        <f t="shared" si="49"/>
        <v>0</v>
      </c>
      <c r="O333" s="35">
        <f t="shared" si="50"/>
        <v>0</v>
      </c>
    </row>
    <row r="334" spans="1:15" x14ac:dyDescent="0.2">
      <c r="A334" s="15" t="s">
        <v>374</v>
      </c>
      <c r="B334" s="15" t="s">
        <v>374</v>
      </c>
      <c r="J334" s="37">
        <f t="shared" si="45"/>
        <v>0</v>
      </c>
      <c r="K334" s="38">
        <f t="shared" si="46"/>
        <v>0</v>
      </c>
      <c r="L334" s="39">
        <f t="shared" si="47"/>
        <v>0</v>
      </c>
      <c r="M334" s="33">
        <f t="shared" si="48"/>
        <v>0</v>
      </c>
      <c r="N334" s="34">
        <f t="shared" si="49"/>
        <v>0</v>
      </c>
      <c r="O334" s="35">
        <f t="shared" si="50"/>
        <v>0</v>
      </c>
    </row>
    <row r="335" spans="1:15" x14ac:dyDescent="0.2">
      <c r="A335" s="15" t="s">
        <v>374</v>
      </c>
      <c r="B335" s="15" t="s">
        <v>374</v>
      </c>
      <c r="J335" s="37">
        <f t="shared" si="45"/>
        <v>0</v>
      </c>
      <c r="K335" s="38">
        <f t="shared" si="46"/>
        <v>0</v>
      </c>
      <c r="L335" s="39">
        <f t="shared" si="47"/>
        <v>0</v>
      </c>
      <c r="M335" s="33">
        <f t="shared" si="48"/>
        <v>0</v>
      </c>
      <c r="N335" s="34">
        <f t="shared" si="49"/>
        <v>0</v>
      </c>
      <c r="O335" s="35">
        <f t="shared" si="50"/>
        <v>0</v>
      </c>
    </row>
    <row r="336" spans="1:15" x14ac:dyDescent="0.2">
      <c r="A336" s="15" t="s">
        <v>374</v>
      </c>
      <c r="B336" s="15" t="s">
        <v>374</v>
      </c>
      <c r="J336" s="37">
        <f t="shared" si="45"/>
        <v>0</v>
      </c>
      <c r="K336" s="38">
        <f t="shared" si="46"/>
        <v>0</v>
      </c>
      <c r="L336" s="39">
        <f t="shared" si="47"/>
        <v>0</v>
      </c>
      <c r="M336" s="33">
        <f t="shared" si="48"/>
        <v>0</v>
      </c>
      <c r="N336" s="34">
        <f t="shared" si="49"/>
        <v>0</v>
      </c>
      <c r="O336" s="35">
        <f t="shared" si="50"/>
        <v>0</v>
      </c>
    </row>
    <row r="337" spans="1:15" x14ac:dyDescent="0.2">
      <c r="A337" s="15" t="s">
        <v>374</v>
      </c>
      <c r="B337" s="15" t="s">
        <v>374</v>
      </c>
      <c r="J337" s="37">
        <f t="shared" si="45"/>
        <v>0</v>
      </c>
      <c r="K337" s="38">
        <f t="shared" si="46"/>
        <v>0</v>
      </c>
      <c r="L337" s="39">
        <f t="shared" si="47"/>
        <v>0</v>
      </c>
      <c r="M337" s="33">
        <f t="shared" si="48"/>
        <v>0</v>
      </c>
      <c r="N337" s="34">
        <f t="shared" si="49"/>
        <v>0</v>
      </c>
      <c r="O337" s="35">
        <f t="shared" si="50"/>
        <v>0</v>
      </c>
    </row>
    <row r="338" spans="1:15" x14ac:dyDescent="0.2">
      <c r="A338" s="15" t="s">
        <v>374</v>
      </c>
      <c r="B338" s="15" t="s">
        <v>374</v>
      </c>
      <c r="J338" s="37">
        <f t="shared" si="45"/>
        <v>0</v>
      </c>
      <c r="K338" s="38">
        <f t="shared" si="46"/>
        <v>0</v>
      </c>
      <c r="L338" s="39">
        <f t="shared" si="47"/>
        <v>0</v>
      </c>
      <c r="M338" s="33">
        <f t="shared" si="48"/>
        <v>0</v>
      </c>
      <c r="N338" s="34">
        <f t="shared" si="49"/>
        <v>0</v>
      </c>
      <c r="O338" s="35">
        <f t="shared" si="50"/>
        <v>0</v>
      </c>
    </row>
    <row r="339" spans="1:15" x14ac:dyDescent="0.2">
      <c r="A339" s="15" t="s">
        <v>374</v>
      </c>
      <c r="B339" s="15" t="s">
        <v>374</v>
      </c>
      <c r="J339" s="37">
        <f t="shared" si="45"/>
        <v>0</v>
      </c>
      <c r="K339" s="38">
        <f t="shared" si="46"/>
        <v>0</v>
      </c>
      <c r="L339" s="39">
        <f t="shared" si="47"/>
        <v>0</v>
      </c>
      <c r="M339" s="33">
        <f t="shared" si="48"/>
        <v>0</v>
      </c>
      <c r="N339" s="34">
        <f t="shared" si="49"/>
        <v>0</v>
      </c>
      <c r="O339" s="35">
        <f t="shared" si="50"/>
        <v>0</v>
      </c>
    </row>
    <row r="340" spans="1:15" x14ac:dyDescent="0.2">
      <c r="A340" s="15" t="s">
        <v>374</v>
      </c>
      <c r="B340" s="15" t="s">
        <v>374</v>
      </c>
      <c r="J340" s="37">
        <f t="shared" si="45"/>
        <v>0</v>
      </c>
      <c r="K340" s="38">
        <f t="shared" si="46"/>
        <v>0</v>
      </c>
      <c r="L340" s="39">
        <f t="shared" si="47"/>
        <v>0</v>
      </c>
      <c r="M340" s="33">
        <f t="shared" si="48"/>
        <v>0</v>
      </c>
      <c r="N340" s="34">
        <f t="shared" si="49"/>
        <v>0</v>
      </c>
      <c r="O340" s="35">
        <f t="shared" si="50"/>
        <v>0</v>
      </c>
    </row>
    <row r="341" spans="1:15" x14ac:dyDescent="0.2">
      <c r="A341" s="15" t="s">
        <v>374</v>
      </c>
      <c r="B341" s="15" t="s">
        <v>374</v>
      </c>
      <c r="J341" s="37">
        <f t="shared" si="45"/>
        <v>0</v>
      </c>
      <c r="K341" s="38">
        <f t="shared" si="46"/>
        <v>0</v>
      </c>
      <c r="L341" s="39">
        <f t="shared" si="47"/>
        <v>0</v>
      </c>
      <c r="M341" s="33">
        <f t="shared" si="48"/>
        <v>0</v>
      </c>
      <c r="N341" s="34">
        <f t="shared" si="49"/>
        <v>0</v>
      </c>
      <c r="O341" s="35">
        <f t="shared" si="50"/>
        <v>0</v>
      </c>
    </row>
    <row r="342" spans="1:15" x14ac:dyDescent="0.2">
      <c r="A342" s="15" t="s">
        <v>374</v>
      </c>
      <c r="B342" s="15" t="s">
        <v>374</v>
      </c>
      <c r="J342" s="37">
        <f t="shared" si="45"/>
        <v>0</v>
      </c>
      <c r="K342" s="38">
        <f t="shared" si="46"/>
        <v>0</v>
      </c>
      <c r="L342" s="39">
        <f t="shared" si="47"/>
        <v>0</v>
      </c>
      <c r="M342" s="33">
        <f t="shared" si="48"/>
        <v>0</v>
      </c>
      <c r="N342" s="34">
        <f t="shared" si="49"/>
        <v>0</v>
      </c>
      <c r="O342" s="35">
        <f t="shared" si="50"/>
        <v>0</v>
      </c>
    </row>
    <row r="343" spans="1:15" x14ac:dyDescent="0.2">
      <c r="A343" s="15" t="s">
        <v>374</v>
      </c>
      <c r="B343" s="15" t="s">
        <v>374</v>
      </c>
      <c r="J343" s="37">
        <f t="shared" si="45"/>
        <v>0</v>
      </c>
      <c r="K343" s="38">
        <f t="shared" si="46"/>
        <v>0</v>
      </c>
      <c r="L343" s="39">
        <f t="shared" si="47"/>
        <v>0</v>
      </c>
      <c r="M343" s="33">
        <f t="shared" si="48"/>
        <v>0</v>
      </c>
      <c r="N343" s="34">
        <f t="shared" si="49"/>
        <v>0</v>
      </c>
      <c r="O343" s="35">
        <f t="shared" si="50"/>
        <v>0</v>
      </c>
    </row>
    <row r="344" spans="1:15" x14ac:dyDescent="0.2">
      <c r="A344" s="15" t="s">
        <v>374</v>
      </c>
      <c r="B344" s="15" t="s">
        <v>374</v>
      </c>
      <c r="J344" s="37">
        <f t="shared" si="45"/>
        <v>0</v>
      </c>
      <c r="K344" s="38">
        <f t="shared" si="46"/>
        <v>0</v>
      </c>
      <c r="L344" s="39">
        <f t="shared" si="47"/>
        <v>0</v>
      </c>
      <c r="M344" s="33">
        <f t="shared" si="48"/>
        <v>0</v>
      </c>
      <c r="N344" s="34">
        <f t="shared" si="49"/>
        <v>0</v>
      </c>
      <c r="O344" s="35">
        <f t="shared" si="50"/>
        <v>0</v>
      </c>
    </row>
    <row r="345" spans="1:15" x14ac:dyDescent="0.2">
      <c r="A345" s="15" t="s">
        <v>374</v>
      </c>
      <c r="B345" s="15" t="s">
        <v>374</v>
      </c>
      <c r="J345" s="37">
        <f t="shared" si="45"/>
        <v>0</v>
      </c>
      <c r="K345" s="38">
        <f t="shared" si="46"/>
        <v>0</v>
      </c>
      <c r="L345" s="39">
        <f t="shared" si="47"/>
        <v>0</v>
      </c>
      <c r="M345" s="33">
        <f t="shared" si="48"/>
        <v>0</v>
      </c>
      <c r="N345" s="34">
        <f t="shared" si="49"/>
        <v>0</v>
      </c>
      <c r="O345" s="35">
        <f t="shared" si="50"/>
        <v>0</v>
      </c>
    </row>
    <row r="346" spans="1:15" x14ac:dyDescent="0.2">
      <c r="A346" s="15" t="s">
        <v>374</v>
      </c>
      <c r="B346" s="15" t="s">
        <v>374</v>
      </c>
      <c r="J346" s="37">
        <f t="shared" si="45"/>
        <v>0</v>
      </c>
      <c r="K346" s="38">
        <f t="shared" si="46"/>
        <v>0</v>
      </c>
      <c r="L346" s="39">
        <f t="shared" si="47"/>
        <v>0</v>
      </c>
      <c r="M346" s="33">
        <f t="shared" si="48"/>
        <v>0</v>
      </c>
      <c r="N346" s="34">
        <f t="shared" si="49"/>
        <v>0</v>
      </c>
      <c r="O346" s="35">
        <f t="shared" si="50"/>
        <v>0</v>
      </c>
    </row>
    <row r="347" spans="1:15" x14ac:dyDescent="0.2">
      <c r="A347" s="15" t="s">
        <v>374</v>
      </c>
      <c r="B347" s="15" t="s">
        <v>374</v>
      </c>
      <c r="J347" s="37">
        <f t="shared" si="45"/>
        <v>0</v>
      </c>
      <c r="K347" s="38">
        <f t="shared" si="46"/>
        <v>0</v>
      </c>
      <c r="L347" s="39">
        <f t="shared" si="47"/>
        <v>0</v>
      </c>
      <c r="M347" s="33">
        <f t="shared" si="48"/>
        <v>0</v>
      </c>
      <c r="N347" s="34">
        <f t="shared" si="49"/>
        <v>0</v>
      </c>
      <c r="O347" s="35">
        <f t="shared" si="50"/>
        <v>0</v>
      </c>
    </row>
    <row r="348" spans="1:15" x14ac:dyDescent="0.2">
      <c r="A348" s="15" t="s">
        <v>374</v>
      </c>
      <c r="B348" s="15" t="s">
        <v>375</v>
      </c>
      <c r="J348" s="37">
        <f t="shared" si="45"/>
        <v>0</v>
      </c>
      <c r="K348" s="38">
        <f t="shared" si="46"/>
        <v>0</v>
      </c>
      <c r="L348" s="39">
        <f t="shared" si="47"/>
        <v>0</v>
      </c>
      <c r="M348" s="33">
        <f t="shared" si="48"/>
        <v>0</v>
      </c>
      <c r="N348" s="34">
        <f t="shared" si="49"/>
        <v>0</v>
      </c>
      <c r="O348" s="35">
        <f t="shared" si="50"/>
        <v>0</v>
      </c>
    </row>
    <row r="349" spans="1:15" x14ac:dyDescent="0.2">
      <c r="A349" s="15" t="s">
        <v>374</v>
      </c>
      <c r="B349" s="15" t="s">
        <v>375</v>
      </c>
      <c r="J349" s="37">
        <f t="shared" si="45"/>
        <v>0</v>
      </c>
      <c r="K349" s="38">
        <f t="shared" si="46"/>
        <v>0</v>
      </c>
      <c r="L349" s="39">
        <f t="shared" si="47"/>
        <v>0</v>
      </c>
      <c r="M349" s="33">
        <f t="shared" si="48"/>
        <v>0</v>
      </c>
      <c r="N349" s="34">
        <f t="shared" si="49"/>
        <v>0</v>
      </c>
      <c r="O349" s="35">
        <f t="shared" si="50"/>
        <v>0</v>
      </c>
    </row>
    <row r="350" spans="1:15" x14ac:dyDescent="0.2">
      <c r="A350" s="15" t="s">
        <v>374</v>
      </c>
      <c r="B350" s="15" t="s">
        <v>375</v>
      </c>
      <c r="J350" s="37">
        <f t="shared" si="45"/>
        <v>0</v>
      </c>
      <c r="K350" s="38">
        <f t="shared" si="46"/>
        <v>0</v>
      </c>
      <c r="L350" s="39">
        <f t="shared" si="47"/>
        <v>0</v>
      </c>
      <c r="M350" s="33">
        <f t="shared" si="48"/>
        <v>0</v>
      </c>
      <c r="N350" s="34">
        <f t="shared" si="49"/>
        <v>0</v>
      </c>
      <c r="O350" s="35">
        <f t="shared" si="50"/>
        <v>0</v>
      </c>
    </row>
    <row r="351" spans="1:15" x14ac:dyDescent="0.2">
      <c r="A351" s="15" t="s">
        <v>374</v>
      </c>
      <c r="B351" s="15" t="s">
        <v>375</v>
      </c>
      <c r="J351" s="37">
        <f t="shared" si="45"/>
        <v>0</v>
      </c>
      <c r="K351" s="38">
        <f t="shared" si="46"/>
        <v>0</v>
      </c>
      <c r="L351" s="39">
        <f t="shared" si="47"/>
        <v>0</v>
      </c>
      <c r="M351" s="33">
        <f t="shared" si="48"/>
        <v>0</v>
      </c>
      <c r="N351" s="34">
        <f t="shared" si="49"/>
        <v>0</v>
      </c>
      <c r="O351" s="35">
        <f t="shared" si="50"/>
        <v>0</v>
      </c>
    </row>
    <row r="352" spans="1:15" x14ac:dyDescent="0.2">
      <c r="A352" s="15" t="s">
        <v>374</v>
      </c>
      <c r="B352" s="15" t="s">
        <v>375</v>
      </c>
      <c r="J352" s="37">
        <f t="shared" si="45"/>
        <v>0</v>
      </c>
      <c r="K352" s="38">
        <f t="shared" si="46"/>
        <v>0</v>
      </c>
      <c r="L352" s="39">
        <f t="shared" si="47"/>
        <v>0</v>
      </c>
      <c r="M352" s="33">
        <f t="shared" si="48"/>
        <v>0</v>
      </c>
      <c r="N352" s="34">
        <f t="shared" si="49"/>
        <v>0</v>
      </c>
      <c r="O352" s="35">
        <f t="shared" si="50"/>
        <v>0</v>
      </c>
    </row>
    <row r="353" spans="1:15" x14ac:dyDescent="0.2">
      <c r="A353" s="15" t="s">
        <v>374</v>
      </c>
      <c r="B353" s="15" t="s">
        <v>374</v>
      </c>
      <c r="J353" s="37">
        <f t="shared" si="45"/>
        <v>0</v>
      </c>
      <c r="K353" s="38">
        <f t="shared" si="46"/>
        <v>0</v>
      </c>
      <c r="L353" s="39">
        <f t="shared" si="47"/>
        <v>0</v>
      </c>
      <c r="M353" s="33">
        <f t="shared" si="48"/>
        <v>0</v>
      </c>
      <c r="N353" s="34">
        <f t="shared" si="49"/>
        <v>0</v>
      </c>
      <c r="O353" s="35">
        <f t="shared" si="50"/>
        <v>0</v>
      </c>
    </row>
    <row r="354" spans="1:15" x14ac:dyDescent="0.2">
      <c r="A354" s="15" t="s">
        <v>374</v>
      </c>
      <c r="B354" s="15" t="s">
        <v>375</v>
      </c>
      <c r="J354" s="37">
        <f t="shared" si="45"/>
        <v>0</v>
      </c>
      <c r="K354" s="38">
        <f t="shared" si="46"/>
        <v>0</v>
      </c>
      <c r="L354" s="39">
        <f t="shared" si="47"/>
        <v>0</v>
      </c>
      <c r="M354" s="33">
        <f t="shared" si="48"/>
        <v>0</v>
      </c>
      <c r="N354" s="34">
        <f t="shared" si="49"/>
        <v>0</v>
      </c>
      <c r="O354" s="35">
        <f t="shared" si="50"/>
        <v>0</v>
      </c>
    </row>
    <row r="355" spans="1:15" x14ac:dyDescent="0.2">
      <c r="A355" s="15" t="s">
        <v>374</v>
      </c>
      <c r="B355" s="15" t="s">
        <v>375</v>
      </c>
      <c r="J355" s="37">
        <f t="shared" si="45"/>
        <v>0</v>
      </c>
      <c r="K355" s="38">
        <f t="shared" si="46"/>
        <v>0</v>
      </c>
      <c r="L355" s="39">
        <f t="shared" si="47"/>
        <v>0</v>
      </c>
      <c r="M355" s="33">
        <f t="shared" si="48"/>
        <v>0</v>
      </c>
      <c r="N355" s="34">
        <f t="shared" si="49"/>
        <v>0</v>
      </c>
      <c r="O355" s="35">
        <f t="shared" si="50"/>
        <v>0</v>
      </c>
    </row>
    <row r="356" spans="1:15" x14ac:dyDescent="0.2">
      <c r="A356" s="15" t="s">
        <v>374</v>
      </c>
      <c r="B356" s="15" t="s">
        <v>375</v>
      </c>
      <c r="J356" s="37">
        <f t="shared" si="45"/>
        <v>0</v>
      </c>
      <c r="K356" s="38">
        <f t="shared" si="46"/>
        <v>0</v>
      </c>
      <c r="L356" s="39">
        <f t="shared" si="47"/>
        <v>0</v>
      </c>
      <c r="M356" s="33">
        <f t="shared" si="48"/>
        <v>0</v>
      </c>
      <c r="N356" s="34">
        <f t="shared" si="49"/>
        <v>0</v>
      </c>
      <c r="O356" s="35">
        <f t="shared" si="50"/>
        <v>0</v>
      </c>
    </row>
    <row r="357" spans="1:15" x14ac:dyDescent="0.2">
      <c r="A357" s="15" t="s">
        <v>374</v>
      </c>
      <c r="B357" s="15" t="s">
        <v>375</v>
      </c>
      <c r="J357" s="37">
        <f t="shared" si="45"/>
        <v>0</v>
      </c>
      <c r="K357" s="38">
        <f t="shared" si="46"/>
        <v>0</v>
      </c>
      <c r="L357" s="39">
        <f t="shared" si="47"/>
        <v>0</v>
      </c>
      <c r="M357" s="33">
        <f t="shared" si="48"/>
        <v>0</v>
      </c>
      <c r="N357" s="34">
        <f t="shared" si="49"/>
        <v>0</v>
      </c>
      <c r="O357" s="35">
        <f t="shared" si="50"/>
        <v>0</v>
      </c>
    </row>
    <row r="358" spans="1:15" x14ac:dyDescent="0.2">
      <c r="A358" s="15" t="s">
        <v>374</v>
      </c>
      <c r="B358" s="15" t="s">
        <v>375</v>
      </c>
      <c r="J358" s="37">
        <f t="shared" ref="J358:J376" si="51">IF($A358="No",0,IF(ISBLANK($D358)=FALSE,CONCATENATE(,$C$2," ",$J$2," ",$C358," ",$D358),0))</f>
        <v>0</v>
      </c>
      <c r="K358" s="38">
        <f t="shared" ref="K358:K376" si="52">IF($J358=0,0,IF(ISBLANK($F358)=FALSE,CONCATENATE(,$C$2," ",$J$2," ",$C358,$E358," ",$F358),0))</f>
        <v>0</v>
      </c>
      <c r="L358" s="39">
        <f t="shared" ref="L358:L376" si="53">IF($K358=0,0,IF(ISBLANK($F358)=FALSE,CONCATENATE(,$C$2," ",$J$2," ",$C358,$E358,,"-",$G358,," ",$H358),0))</f>
        <v>0</v>
      </c>
      <c r="M358" s="33">
        <f t="shared" ref="M358:M375" si="54">IF($B358="No",0,IF(ISBLANK($D358)=FALSE,CONCATENATE(,$C$2," ",$M$2," ",$C358," ",$D358),0))</f>
        <v>0</v>
      </c>
      <c r="N358" s="34">
        <f t="shared" ref="N358:N376" si="55">IF(M358=0,0,IF(ISBLANK($F358)=FALSE,CONCATENATE(,$C$2," ",$M$2," ",$C358,$E358," ",$F358),0))</f>
        <v>0</v>
      </c>
      <c r="O358" s="35">
        <f t="shared" ref="O358:O376" si="56">IF(N358=0,0,IF(ISBLANK($F358)=FALSE,CONCATENATE(,$C$2," ",$M$2," ",$C358,$E358,,"-",$G358,," ",$H358),0))</f>
        <v>0</v>
      </c>
    </row>
    <row r="359" spans="1:15" x14ac:dyDescent="0.2">
      <c r="A359" s="15" t="s">
        <v>374</v>
      </c>
      <c r="B359" s="15" t="s">
        <v>375</v>
      </c>
      <c r="J359" s="37">
        <f t="shared" si="51"/>
        <v>0</v>
      </c>
      <c r="K359" s="38">
        <f t="shared" si="52"/>
        <v>0</v>
      </c>
      <c r="L359" s="39">
        <f t="shared" si="53"/>
        <v>0</v>
      </c>
      <c r="M359" s="33">
        <f t="shared" si="54"/>
        <v>0</v>
      </c>
      <c r="N359" s="34">
        <f t="shared" si="55"/>
        <v>0</v>
      </c>
      <c r="O359" s="35">
        <f t="shared" si="56"/>
        <v>0</v>
      </c>
    </row>
    <row r="360" spans="1:15" x14ac:dyDescent="0.2">
      <c r="A360" s="15" t="s">
        <v>374</v>
      </c>
      <c r="B360" s="15" t="s">
        <v>375</v>
      </c>
      <c r="J360" s="37">
        <f t="shared" si="51"/>
        <v>0</v>
      </c>
      <c r="K360" s="38">
        <f t="shared" si="52"/>
        <v>0</v>
      </c>
      <c r="L360" s="39">
        <f t="shared" si="53"/>
        <v>0</v>
      </c>
      <c r="M360" s="33">
        <f t="shared" si="54"/>
        <v>0</v>
      </c>
      <c r="N360" s="34">
        <f t="shared" si="55"/>
        <v>0</v>
      </c>
      <c r="O360" s="35">
        <f t="shared" si="56"/>
        <v>0</v>
      </c>
    </row>
    <row r="361" spans="1:15" x14ac:dyDescent="0.2">
      <c r="A361" s="15" t="s">
        <v>374</v>
      </c>
      <c r="B361" s="15" t="s">
        <v>374</v>
      </c>
      <c r="J361" s="37">
        <f t="shared" si="51"/>
        <v>0</v>
      </c>
      <c r="K361" s="38">
        <f t="shared" si="52"/>
        <v>0</v>
      </c>
      <c r="L361" s="39">
        <f t="shared" si="53"/>
        <v>0</v>
      </c>
      <c r="M361" s="33">
        <f t="shared" si="54"/>
        <v>0</v>
      </c>
      <c r="N361" s="34">
        <f t="shared" si="55"/>
        <v>0</v>
      </c>
      <c r="O361" s="35">
        <f t="shared" si="56"/>
        <v>0</v>
      </c>
    </row>
    <row r="362" spans="1:15" x14ac:dyDescent="0.2">
      <c r="A362" s="15" t="s">
        <v>374</v>
      </c>
      <c r="B362" s="15" t="s">
        <v>374</v>
      </c>
      <c r="J362" s="37">
        <f t="shared" si="51"/>
        <v>0</v>
      </c>
      <c r="K362" s="38">
        <f t="shared" si="52"/>
        <v>0</v>
      </c>
      <c r="L362" s="39">
        <f t="shared" si="53"/>
        <v>0</v>
      </c>
      <c r="M362" s="33">
        <f t="shared" si="54"/>
        <v>0</v>
      </c>
      <c r="N362" s="34">
        <f t="shared" si="55"/>
        <v>0</v>
      </c>
      <c r="O362" s="35">
        <f t="shared" si="56"/>
        <v>0</v>
      </c>
    </row>
    <row r="363" spans="1:15" x14ac:dyDescent="0.2">
      <c r="A363" s="15" t="s">
        <v>374</v>
      </c>
      <c r="B363" s="15" t="s">
        <v>374</v>
      </c>
      <c r="J363" s="37">
        <f t="shared" si="51"/>
        <v>0</v>
      </c>
      <c r="K363" s="38">
        <f t="shared" si="52"/>
        <v>0</v>
      </c>
      <c r="L363" s="39">
        <f t="shared" si="53"/>
        <v>0</v>
      </c>
      <c r="M363" s="33">
        <f t="shared" si="54"/>
        <v>0</v>
      </c>
      <c r="N363" s="34">
        <f t="shared" si="55"/>
        <v>0</v>
      </c>
      <c r="O363" s="35">
        <f t="shared" si="56"/>
        <v>0</v>
      </c>
    </row>
    <row r="364" spans="1:15" x14ac:dyDescent="0.2">
      <c r="A364" s="15" t="s">
        <v>374</v>
      </c>
      <c r="B364" s="15" t="s">
        <v>375</v>
      </c>
      <c r="J364" s="37">
        <f t="shared" si="51"/>
        <v>0</v>
      </c>
      <c r="K364" s="38">
        <f t="shared" si="52"/>
        <v>0</v>
      </c>
      <c r="L364" s="39">
        <f t="shared" si="53"/>
        <v>0</v>
      </c>
      <c r="M364" s="33">
        <f t="shared" si="54"/>
        <v>0</v>
      </c>
      <c r="N364" s="34">
        <f t="shared" si="55"/>
        <v>0</v>
      </c>
      <c r="O364" s="35">
        <f t="shared" si="56"/>
        <v>0</v>
      </c>
    </row>
    <row r="365" spans="1:15" x14ac:dyDescent="0.2">
      <c r="A365" s="15" t="s">
        <v>374</v>
      </c>
      <c r="B365" s="15" t="s">
        <v>375</v>
      </c>
      <c r="J365" s="37">
        <f t="shared" si="51"/>
        <v>0</v>
      </c>
      <c r="K365" s="38">
        <f t="shared" si="52"/>
        <v>0</v>
      </c>
      <c r="L365" s="39">
        <f t="shared" si="53"/>
        <v>0</v>
      </c>
      <c r="M365" s="33">
        <f t="shared" si="54"/>
        <v>0</v>
      </c>
      <c r="N365" s="34">
        <f t="shared" si="55"/>
        <v>0</v>
      </c>
      <c r="O365" s="35">
        <f t="shared" si="56"/>
        <v>0</v>
      </c>
    </row>
    <row r="366" spans="1:15" x14ac:dyDescent="0.2">
      <c r="A366" s="15" t="s">
        <v>374</v>
      </c>
      <c r="B366" s="15" t="s">
        <v>375</v>
      </c>
      <c r="J366" s="37">
        <f t="shared" si="51"/>
        <v>0</v>
      </c>
      <c r="K366" s="38">
        <f t="shared" si="52"/>
        <v>0</v>
      </c>
      <c r="L366" s="39">
        <f t="shared" si="53"/>
        <v>0</v>
      </c>
      <c r="M366" s="33">
        <f t="shared" si="54"/>
        <v>0</v>
      </c>
      <c r="N366" s="34">
        <f t="shared" si="55"/>
        <v>0</v>
      </c>
      <c r="O366" s="35">
        <f t="shared" si="56"/>
        <v>0</v>
      </c>
    </row>
    <row r="367" spans="1:15" x14ac:dyDescent="0.2">
      <c r="A367" s="15" t="s">
        <v>374</v>
      </c>
      <c r="B367" s="15" t="s">
        <v>375</v>
      </c>
      <c r="J367" s="37">
        <f t="shared" si="51"/>
        <v>0</v>
      </c>
      <c r="K367" s="38">
        <f t="shared" si="52"/>
        <v>0</v>
      </c>
      <c r="L367" s="39">
        <f t="shared" si="53"/>
        <v>0</v>
      </c>
      <c r="M367" s="33">
        <f t="shared" si="54"/>
        <v>0</v>
      </c>
      <c r="N367" s="34">
        <f t="shared" si="55"/>
        <v>0</v>
      </c>
      <c r="O367" s="35">
        <f t="shared" si="56"/>
        <v>0</v>
      </c>
    </row>
    <row r="368" spans="1:15" x14ac:dyDescent="0.2">
      <c r="J368" s="37">
        <f t="shared" si="51"/>
        <v>0</v>
      </c>
      <c r="K368" s="38">
        <f t="shared" si="52"/>
        <v>0</v>
      </c>
      <c r="L368" s="39">
        <f t="shared" si="53"/>
        <v>0</v>
      </c>
      <c r="M368" s="33">
        <f t="shared" si="54"/>
        <v>0</v>
      </c>
      <c r="N368" s="34">
        <f t="shared" si="55"/>
        <v>0</v>
      </c>
      <c r="O368" s="35">
        <f t="shared" si="56"/>
        <v>0</v>
      </c>
    </row>
    <row r="369" spans="10:15" x14ac:dyDescent="0.2">
      <c r="J369" s="37">
        <f t="shared" si="51"/>
        <v>0</v>
      </c>
      <c r="K369" s="38">
        <f t="shared" si="52"/>
        <v>0</v>
      </c>
      <c r="L369" s="39">
        <f t="shared" si="53"/>
        <v>0</v>
      </c>
      <c r="M369" s="33">
        <f t="shared" si="54"/>
        <v>0</v>
      </c>
      <c r="N369" s="34">
        <f t="shared" si="55"/>
        <v>0</v>
      </c>
      <c r="O369" s="35">
        <f t="shared" si="56"/>
        <v>0</v>
      </c>
    </row>
    <row r="370" spans="10:15" x14ac:dyDescent="0.2">
      <c r="J370" s="37">
        <f t="shared" si="51"/>
        <v>0</v>
      </c>
      <c r="K370" s="38">
        <f t="shared" si="52"/>
        <v>0</v>
      </c>
      <c r="L370" s="39">
        <f t="shared" si="53"/>
        <v>0</v>
      </c>
      <c r="M370" s="33">
        <f t="shared" si="54"/>
        <v>0</v>
      </c>
      <c r="N370" s="34">
        <f t="shared" si="55"/>
        <v>0</v>
      </c>
      <c r="O370" s="35">
        <f t="shared" si="56"/>
        <v>0</v>
      </c>
    </row>
    <row r="371" spans="10:15" x14ac:dyDescent="0.2">
      <c r="J371" s="37">
        <f t="shared" si="51"/>
        <v>0</v>
      </c>
      <c r="K371" s="38">
        <f t="shared" si="52"/>
        <v>0</v>
      </c>
      <c r="L371" s="39">
        <f t="shared" si="53"/>
        <v>0</v>
      </c>
      <c r="M371" s="33">
        <f t="shared" si="54"/>
        <v>0</v>
      </c>
      <c r="N371" s="34">
        <f t="shared" si="55"/>
        <v>0</v>
      </c>
      <c r="O371" s="35">
        <f t="shared" si="56"/>
        <v>0</v>
      </c>
    </row>
    <row r="372" spans="10:15" x14ac:dyDescent="0.2">
      <c r="J372" s="37">
        <f t="shared" si="51"/>
        <v>0</v>
      </c>
      <c r="K372" s="38">
        <f t="shared" si="52"/>
        <v>0</v>
      </c>
      <c r="L372" s="39">
        <f t="shared" si="53"/>
        <v>0</v>
      </c>
      <c r="M372" s="33">
        <f t="shared" si="54"/>
        <v>0</v>
      </c>
      <c r="N372" s="34">
        <f t="shared" si="55"/>
        <v>0</v>
      </c>
      <c r="O372" s="35">
        <f t="shared" si="56"/>
        <v>0</v>
      </c>
    </row>
    <row r="373" spans="10:15" x14ac:dyDescent="0.2">
      <c r="J373" s="37">
        <f t="shared" si="51"/>
        <v>0</v>
      </c>
      <c r="K373" s="38">
        <f t="shared" si="52"/>
        <v>0</v>
      </c>
      <c r="L373" s="39">
        <f t="shared" si="53"/>
        <v>0</v>
      </c>
      <c r="M373" s="33">
        <f t="shared" si="54"/>
        <v>0</v>
      </c>
      <c r="N373" s="34">
        <f t="shared" si="55"/>
        <v>0</v>
      </c>
      <c r="O373" s="35">
        <f t="shared" si="56"/>
        <v>0</v>
      </c>
    </row>
    <row r="374" spans="10:15" x14ac:dyDescent="0.2">
      <c r="J374" s="37">
        <f t="shared" si="51"/>
        <v>0</v>
      </c>
      <c r="K374" s="38">
        <f t="shared" si="52"/>
        <v>0</v>
      </c>
      <c r="L374" s="39">
        <f t="shared" si="53"/>
        <v>0</v>
      </c>
      <c r="M374" s="33">
        <f t="shared" si="54"/>
        <v>0</v>
      </c>
      <c r="N374" s="34">
        <f t="shared" si="55"/>
        <v>0</v>
      </c>
      <c r="O374" s="35">
        <f t="shared" si="56"/>
        <v>0</v>
      </c>
    </row>
    <row r="375" spans="10:15" x14ac:dyDescent="0.2">
      <c r="J375" s="37">
        <f t="shared" si="51"/>
        <v>0</v>
      </c>
      <c r="K375" s="38">
        <f t="shared" si="52"/>
        <v>0</v>
      </c>
      <c r="L375" s="39">
        <f t="shared" si="53"/>
        <v>0</v>
      </c>
      <c r="M375" s="33">
        <f t="shared" si="54"/>
        <v>0</v>
      </c>
      <c r="N375" s="34">
        <f t="shared" si="55"/>
        <v>0</v>
      </c>
      <c r="O375" s="35">
        <f t="shared" si="56"/>
        <v>0</v>
      </c>
    </row>
    <row r="376" spans="10:15" x14ac:dyDescent="0.2">
      <c r="J376" s="37">
        <f t="shared" si="51"/>
        <v>0</v>
      </c>
      <c r="K376" s="38">
        <f t="shared" si="52"/>
        <v>0</v>
      </c>
      <c r="L376" s="39">
        <f t="shared" si="53"/>
        <v>0</v>
      </c>
      <c r="M376" s="33">
        <f>IF($B376="No",0,IF(ISBLANK($D376)=FALSE,CONCATENATE(,$C$2," ",$M$2," ",$C376," ",$D376),0))</f>
        <v>0</v>
      </c>
      <c r="N376" s="34">
        <f t="shared" si="55"/>
        <v>0</v>
      </c>
      <c r="O376" s="35">
        <f t="shared" si="56"/>
        <v>0</v>
      </c>
    </row>
  </sheetData>
  <mergeCells count="19">
    <mergeCell ref="C3:I3"/>
    <mergeCell ref="J3:L3"/>
    <mergeCell ref="M3:O3"/>
    <mergeCell ref="A4:B4"/>
    <mergeCell ref="C4:D4"/>
    <mergeCell ref="E4:F4"/>
    <mergeCell ref="G4:H4"/>
    <mergeCell ref="J4:J5"/>
    <mergeCell ref="L4:L5"/>
    <mergeCell ref="M4:M5"/>
    <mergeCell ref="N4:N5"/>
    <mergeCell ref="O4:O5"/>
    <mergeCell ref="J2:L2"/>
    <mergeCell ref="M2:O2"/>
    <mergeCell ref="A253:I253"/>
    <mergeCell ref="A265:I265"/>
    <mergeCell ref="B254:H254"/>
    <mergeCell ref="B255:H255"/>
    <mergeCell ref="K4:K5"/>
  </mergeCells>
  <conditionalFormatting sqref="A6:B252 A256:B264 A266:B1048576">
    <cfRule type="containsText" dxfId="1" priority="1" operator="containsText" text="Yes">
      <formula>NOT(ISERROR(SEARCH("Yes",A6)))</formula>
    </cfRule>
    <cfRule type="containsText" dxfId="0" priority="2" operator="containsText" text="NO">
      <formula>NOT(ISERROR(SEARCH("NO",A6)))</formula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841120-E921-4FC3-B49C-004A50B4F64B}">
          <x14:formula1>
            <xm:f>Masters!$E$4:$E$5</xm:f>
          </x14:formula1>
          <xm:sqref>A256:B264 A6:B252 A266:B273 A274:B367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Masters</vt:lpstr>
      <vt:lpstr>Master Sheet for Building</vt:lpstr>
      <vt:lpstr>Master Sheet For 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Sayyed</dc:creator>
  <cp:lastModifiedBy>Zubair Sayyed</cp:lastModifiedBy>
  <cp:lastPrinted>2026-08-05T09:18:32Z</cp:lastPrinted>
  <dcterms:created xsi:type="dcterms:W3CDTF">2026-05-15T09:34:01Z</dcterms:created>
  <dcterms:modified xsi:type="dcterms:W3CDTF">2026-08-05T10:46:27Z</dcterms:modified>
</cp:coreProperties>
</file>